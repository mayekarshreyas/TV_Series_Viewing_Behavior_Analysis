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0.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6.xml" ContentType="application/vnd.openxmlformats-officedocument.drawingml.chartshapes+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7.xml" ContentType="application/vnd.openxmlformats-officedocument.drawingml.chartshapes+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8.xml" ContentType="application/vnd.openxmlformats-officedocument.drawingml.chartshapes+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9.xml" ContentType="application/vnd.openxmlformats-officedocument.drawingml.chartshapes+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Data Analyst\Project\Dataset\"/>
    </mc:Choice>
  </mc:AlternateContent>
  <xr:revisionPtr revIDLastSave="0" documentId="13_ncr:1_{7D81A963-D408-49CA-8D1C-43CDE398ACF9}" xr6:coauthVersionLast="47" xr6:coauthVersionMax="47" xr10:uidLastSave="{00000000-0000-0000-0000-000000000000}"/>
  <bookViews>
    <workbookView xWindow="-108" yWindow="-108" windowWidth="23256" windowHeight="12456" tabRatio="525" firstSheet="1" activeTab="6" xr2:uid="{00000000-000D-0000-FFFF-FFFF00000000}"/>
  </bookViews>
  <sheets>
    <sheet name="TV Series Dataset" sheetId="1" r:id="rId1"/>
    <sheet name="Sheet1" sheetId="2" r:id="rId2"/>
    <sheet name="Sheet2" sheetId="4" r:id="rId3"/>
    <sheet name="Sheet3" sheetId="7" r:id="rId4"/>
    <sheet name="Sheet4" sheetId="8" r:id="rId5"/>
    <sheet name="Sheet5" sheetId="13" r:id="rId6"/>
    <sheet name="Dashboard" sheetId="16" r:id="rId7"/>
  </sheets>
  <definedNames>
    <definedName name="_xlnm._FilterDatabase" localSheetId="0" hidden="1">'TV Series Dataset'!$A$1:$N$301</definedName>
    <definedName name="_xlchart.v1.0" hidden="1">Sheet3!$F$2</definedName>
    <definedName name="_xlchart.v1.1" hidden="1">Sheet3!$F$3:$F$142</definedName>
    <definedName name="_xlchart.v1.10" hidden="1">Sheet4!$G$2</definedName>
    <definedName name="_xlchart.v1.11" hidden="1">Sheet4!$G$3:$G$182</definedName>
    <definedName name="_xlchart.v1.12" hidden="1">Sheet4!$H$2</definedName>
    <definedName name="_xlchart.v1.13" hidden="1">Sheet4!$H$3:$H$182</definedName>
    <definedName name="_xlchart.v1.14" hidden="1">Sheet4!$I$2</definedName>
    <definedName name="_xlchart.v1.15" hidden="1">Sheet4!$I$3:$I$182</definedName>
    <definedName name="_xlchart.v1.16" hidden="1">Sheet4!$J$2</definedName>
    <definedName name="_xlchart.v1.17" hidden="1">Sheet4!$J$3:$J$182</definedName>
    <definedName name="_xlchart.v1.18" hidden="1">Sheet4!$G$2</definedName>
    <definedName name="_xlchart.v1.19" hidden="1">Sheet4!$G$3:$G$182</definedName>
    <definedName name="_xlchart.v1.2" hidden="1">Sheet3!$G$2</definedName>
    <definedName name="_xlchart.v1.20" hidden="1">Sheet4!$H$2</definedName>
    <definedName name="_xlchart.v1.21" hidden="1">Sheet4!$H$3:$H$182</definedName>
    <definedName name="_xlchart.v1.22" hidden="1">Sheet4!$I$2</definedName>
    <definedName name="_xlchart.v1.23" hidden="1">Sheet4!$I$3:$I$182</definedName>
    <definedName name="_xlchart.v1.24" hidden="1">Sheet4!$J$2</definedName>
    <definedName name="_xlchart.v1.25" hidden="1">Sheet4!$J$3:$J$182</definedName>
    <definedName name="_xlchart.v1.3" hidden="1">Sheet3!$G$3:$G$142</definedName>
    <definedName name="_xlchart.v1.4" hidden="1">Sheet3!$H$2</definedName>
    <definedName name="_xlchart.v1.5" hidden="1">Sheet3!$H$3:$H$142</definedName>
    <definedName name="_xlchart.v1.6" hidden="1">Sheet3!$N$2</definedName>
    <definedName name="_xlchart.v1.7" hidden="1">Sheet3!$N$3:$N$164</definedName>
    <definedName name="_xlchart.v1.8" hidden="1">Sheet3!$O$2</definedName>
    <definedName name="_xlchart.v1.9" hidden="1">Sheet3!$O$3:$O$164</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A5" i="13"/>
  <c r="E5" i="13"/>
  <c r="D5" i="13"/>
  <c r="C5" i="13"/>
  <c r="B5" i="13"/>
  <c r="A2" i="13"/>
  <c r="E2" i="13"/>
  <c r="D2" i="13"/>
  <c r="C2" i="13"/>
  <c r="B2" i="13"/>
  <c r="D5" i="8"/>
  <c r="C4" i="8"/>
  <c r="E5" i="8"/>
  <c r="B3" i="8"/>
  <c r="C5" i="8"/>
  <c r="B5" i="8"/>
  <c r="E4" i="8"/>
  <c r="D4" i="8"/>
  <c r="B4" i="8"/>
  <c r="E3" i="8"/>
  <c r="D3" i="8"/>
  <c r="C3" i="8"/>
  <c r="N10" i="1"/>
  <c r="L6" i="7"/>
  <c r="K6" i="7"/>
  <c r="B6" i="7"/>
  <c r="C6" i="7"/>
  <c r="D6" i="7"/>
  <c r="L5" i="7"/>
  <c r="L4" i="7"/>
  <c r="L3" i="7"/>
  <c r="K5" i="7"/>
  <c r="K4" i="7"/>
  <c r="K3" i="7"/>
  <c r="D5" i="7"/>
  <c r="D4" i="7"/>
  <c r="D3" i="7"/>
  <c r="C5" i="7"/>
  <c r="C4" i="7"/>
  <c r="C3" i="7"/>
  <c r="B5" i="7"/>
  <c r="B4" i="7"/>
  <c r="B3" i="7"/>
  <c r="N3" i="1"/>
  <c r="N4" i="1"/>
  <c r="N5" i="1"/>
  <c r="N6" i="1"/>
  <c r="N7" i="1"/>
  <c r="N8" i="1"/>
  <c r="N9"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alcChain>
</file>

<file path=xl/sharedStrings.xml><?xml version="1.0" encoding="utf-8"?>
<sst xmlns="http://schemas.openxmlformats.org/spreadsheetml/2006/main" count="2287" uniqueCount="417">
  <si>
    <t>Viewer ID</t>
  </si>
  <si>
    <t>Age</t>
  </si>
  <si>
    <t>Gender</t>
  </si>
  <si>
    <t>Country</t>
  </si>
  <si>
    <t>Favorite TV Series</t>
  </si>
  <si>
    <t>Genre</t>
  </si>
  <si>
    <t>Episodes Watched Per Session</t>
  </si>
  <si>
    <t>Hours Watched Per Week</t>
  </si>
  <si>
    <t>Preferred Watching Time</t>
  </si>
  <si>
    <t>Viewing Day Type</t>
  </si>
  <si>
    <t>Series Rating</t>
  </si>
  <si>
    <t>V001</t>
  </si>
  <si>
    <t>Female</t>
  </si>
  <si>
    <t>Australia</t>
  </si>
  <si>
    <t>The Office</t>
  </si>
  <si>
    <t>Comedy</t>
  </si>
  <si>
    <t>Morning</t>
  </si>
  <si>
    <t>Weekend</t>
  </si>
  <si>
    <t>V002</t>
  </si>
  <si>
    <t>Germany</t>
  </si>
  <si>
    <t>Lost</t>
  </si>
  <si>
    <t>Mystery/Drama</t>
  </si>
  <si>
    <t>Night</t>
  </si>
  <si>
    <t>V003</t>
  </si>
  <si>
    <t>Male</t>
  </si>
  <si>
    <t>Narcos</t>
  </si>
  <si>
    <t>Crime</t>
  </si>
  <si>
    <t>V004</t>
  </si>
  <si>
    <t>India</t>
  </si>
  <si>
    <t>Prison Break</t>
  </si>
  <si>
    <t>Crime/Drama</t>
  </si>
  <si>
    <t>Afternoon</t>
  </si>
  <si>
    <t>Weekday</t>
  </si>
  <si>
    <t>V005</t>
  </si>
  <si>
    <t>USA</t>
  </si>
  <si>
    <t>Wednesday</t>
  </si>
  <si>
    <t>Mystery/Comedy</t>
  </si>
  <si>
    <t>V006</t>
  </si>
  <si>
    <t>Japan</t>
  </si>
  <si>
    <t>V007</t>
  </si>
  <si>
    <t>Canada</t>
  </si>
  <si>
    <t>V008</t>
  </si>
  <si>
    <t>France</t>
  </si>
  <si>
    <t>Breaking Bad</t>
  </si>
  <si>
    <t>V009</t>
  </si>
  <si>
    <t>Peaky Blinders</t>
  </si>
  <si>
    <t>V010</t>
  </si>
  <si>
    <t>Brazil</t>
  </si>
  <si>
    <t>V011</t>
  </si>
  <si>
    <t>The Mandalorian</t>
  </si>
  <si>
    <t>Sci-Fi</t>
  </si>
  <si>
    <t>V012</t>
  </si>
  <si>
    <t>House of the Dragon</t>
  </si>
  <si>
    <t>Fantasy</t>
  </si>
  <si>
    <t>V013</t>
  </si>
  <si>
    <t>The Boys</t>
  </si>
  <si>
    <t>Action/Sci-Fi</t>
  </si>
  <si>
    <t>V014</t>
  </si>
  <si>
    <t>South Korea</t>
  </si>
  <si>
    <t>V015</t>
  </si>
  <si>
    <t>The Witcher</t>
  </si>
  <si>
    <t>V016</t>
  </si>
  <si>
    <t>UK</t>
  </si>
  <si>
    <t>Dark</t>
  </si>
  <si>
    <t>V017</t>
  </si>
  <si>
    <t>Stranger Things</t>
  </si>
  <si>
    <t>V018</t>
  </si>
  <si>
    <t>True Detective</t>
  </si>
  <si>
    <t>V019</t>
  </si>
  <si>
    <t>V020</t>
  </si>
  <si>
    <t>Modern Family</t>
  </si>
  <si>
    <t>V021</t>
  </si>
  <si>
    <t>V022</t>
  </si>
  <si>
    <t>V023</t>
  </si>
  <si>
    <t>V024</t>
  </si>
  <si>
    <t>V025</t>
  </si>
  <si>
    <t>V026</t>
  </si>
  <si>
    <t>V027</t>
  </si>
  <si>
    <t>Friends</t>
  </si>
  <si>
    <t>V028</t>
  </si>
  <si>
    <t>V029</t>
  </si>
  <si>
    <t>V030</t>
  </si>
  <si>
    <t>V031</t>
  </si>
  <si>
    <t>V032</t>
  </si>
  <si>
    <t>Better Call Saul</t>
  </si>
  <si>
    <t>V033</t>
  </si>
  <si>
    <t>Game of Thrones</t>
  </si>
  <si>
    <t>V034</t>
  </si>
  <si>
    <t>How I Met Your Mother</t>
  </si>
  <si>
    <t>V035</t>
  </si>
  <si>
    <t>V036</t>
  </si>
  <si>
    <t>V037</t>
  </si>
  <si>
    <t>V038</t>
  </si>
  <si>
    <t>V039</t>
  </si>
  <si>
    <t>V040</t>
  </si>
  <si>
    <t>Black Mirror</t>
  </si>
  <si>
    <t>V041</t>
  </si>
  <si>
    <t>V042</t>
  </si>
  <si>
    <t>Loki</t>
  </si>
  <si>
    <t>V043</t>
  </si>
  <si>
    <t>V044</t>
  </si>
  <si>
    <t>V045</t>
  </si>
  <si>
    <t>Sherlock</t>
  </si>
  <si>
    <t>Crime/Mystery</t>
  </si>
  <si>
    <t>V046</t>
  </si>
  <si>
    <t>V047</t>
  </si>
  <si>
    <t>V048</t>
  </si>
  <si>
    <t>V049</t>
  </si>
  <si>
    <t>V050</t>
  </si>
  <si>
    <t>V051</t>
  </si>
  <si>
    <t>V052</t>
  </si>
  <si>
    <t>V053</t>
  </si>
  <si>
    <t>V054</t>
  </si>
  <si>
    <t>V055</t>
  </si>
  <si>
    <t>V056</t>
  </si>
  <si>
    <t>V057</t>
  </si>
  <si>
    <t>V058</t>
  </si>
  <si>
    <t>V059</t>
  </si>
  <si>
    <t>V060</t>
  </si>
  <si>
    <t>V061</t>
  </si>
  <si>
    <t>V062</t>
  </si>
  <si>
    <t>V063</t>
  </si>
  <si>
    <t>V064</t>
  </si>
  <si>
    <t>V065</t>
  </si>
  <si>
    <t>V066</t>
  </si>
  <si>
    <t>Squid Game</t>
  </si>
  <si>
    <t>Thriller</t>
  </si>
  <si>
    <t>V067</t>
  </si>
  <si>
    <t>V068</t>
  </si>
  <si>
    <t>V069</t>
  </si>
  <si>
    <t>V070</t>
  </si>
  <si>
    <t>V071</t>
  </si>
  <si>
    <t>V072</t>
  </si>
  <si>
    <t>V073</t>
  </si>
  <si>
    <t>V074</t>
  </si>
  <si>
    <t>V075</t>
  </si>
  <si>
    <t>V076</t>
  </si>
  <si>
    <t>V077</t>
  </si>
  <si>
    <t>V078</t>
  </si>
  <si>
    <t>Vikings</t>
  </si>
  <si>
    <t>Historical/Drama</t>
  </si>
  <si>
    <t>V079</t>
  </si>
  <si>
    <t>V080</t>
  </si>
  <si>
    <t>V081</t>
  </si>
  <si>
    <t>Money Heist</t>
  </si>
  <si>
    <t>Crime/Thriller</t>
  </si>
  <si>
    <t>V082</t>
  </si>
  <si>
    <t>V083</t>
  </si>
  <si>
    <t>V084</t>
  </si>
  <si>
    <t>V085</t>
  </si>
  <si>
    <t>V086</t>
  </si>
  <si>
    <t>V087</t>
  </si>
  <si>
    <t>V088</t>
  </si>
  <si>
    <t>V089</t>
  </si>
  <si>
    <t>V090</t>
  </si>
  <si>
    <t>V091</t>
  </si>
  <si>
    <t>V092</t>
  </si>
  <si>
    <t>V093</t>
  </si>
  <si>
    <t>V094</t>
  </si>
  <si>
    <t>V095</t>
  </si>
  <si>
    <t>V096</t>
  </si>
  <si>
    <t>V097</t>
  </si>
  <si>
    <t>V098</t>
  </si>
  <si>
    <t>V099</t>
  </si>
  <si>
    <t>V100</t>
  </si>
  <si>
    <t>V101</t>
  </si>
  <si>
    <t>V102</t>
  </si>
  <si>
    <t>V103</t>
  </si>
  <si>
    <t>V104</t>
  </si>
  <si>
    <t>V105</t>
  </si>
  <si>
    <t>V106</t>
  </si>
  <si>
    <t>V107</t>
  </si>
  <si>
    <t>V108</t>
  </si>
  <si>
    <t>V109</t>
  </si>
  <si>
    <t>V110</t>
  </si>
  <si>
    <t>V111</t>
  </si>
  <si>
    <t>V112</t>
  </si>
  <si>
    <t>V113</t>
  </si>
  <si>
    <t>V114</t>
  </si>
  <si>
    <t>V115</t>
  </si>
  <si>
    <t>V116</t>
  </si>
  <si>
    <t>V117</t>
  </si>
  <si>
    <t>V118</t>
  </si>
  <si>
    <t>V119</t>
  </si>
  <si>
    <t>V120</t>
  </si>
  <si>
    <t>V121</t>
  </si>
  <si>
    <t>V122</t>
  </si>
  <si>
    <t>V123</t>
  </si>
  <si>
    <t>V124</t>
  </si>
  <si>
    <t>V125</t>
  </si>
  <si>
    <t>V126</t>
  </si>
  <si>
    <t>V127</t>
  </si>
  <si>
    <t>V128</t>
  </si>
  <si>
    <t>V129</t>
  </si>
  <si>
    <t>V130</t>
  </si>
  <si>
    <t>V131</t>
  </si>
  <si>
    <t>V132</t>
  </si>
  <si>
    <t>V133</t>
  </si>
  <si>
    <t>V134</t>
  </si>
  <si>
    <t>V135</t>
  </si>
  <si>
    <t>V136</t>
  </si>
  <si>
    <t>V137</t>
  </si>
  <si>
    <t>V138</t>
  </si>
  <si>
    <t>V139</t>
  </si>
  <si>
    <t>V140</t>
  </si>
  <si>
    <t>V141</t>
  </si>
  <si>
    <t>V142</t>
  </si>
  <si>
    <t>V143</t>
  </si>
  <si>
    <t>V144</t>
  </si>
  <si>
    <t>V145</t>
  </si>
  <si>
    <t>V146</t>
  </si>
  <si>
    <t>V147</t>
  </si>
  <si>
    <t>V148</t>
  </si>
  <si>
    <t>V149</t>
  </si>
  <si>
    <t>V150</t>
  </si>
  <si>
    <t>V151</t>
  </si>
  <si>
    <t>V152</t>
  </si>
  <si>
    <t>V153</t>
  </si>
  <si>
    <t>V154</t>
  </si>
  <si>
    <t>V155</t>
  </si>
  <si>
    <t>V156</t>
  </si>
  <si>
    <t>V157</t>
  </si>
  <si>
    <t>V158</t>
  </si>
  <si>
    <t>V159</t>
  </si>
  <si>
    <t>V160</t>
  </si>
  <si>
    <t>V161</t>
  </si>
  <si>
    <t>V162</t>
  </si>
  <si>
    <t>V163</t>
  </si>
  <si>
    <t>V164</t>
  </si>
  <si>
    <t>V165</t>
  </si>
  <si>
    <t>V166</t>
  </si>
  <si>
    <t>V167</t>
  </si>
  <si>
    <t>V168</t>
  </si>
  <si>
    <t>V169</t>
  </si>
  <si>
    <t>V170</t>
  </si>
  <si>
    <t>V171</t>
  </si>
  <si>
    <t>V172</t>
  </si>
  <si>
    <t>V173</t>
  </si>
  <si>
    <t>V174</t>
  </si>
  <si>
    <t>V175</t>
  </si>
  <si>
    <t>V176</t>
  </si>
  <si>
    <t>V177</t>
  </si>
  <si>
    <t>V178</t>
  </si>
  <si>
    <t>V179</t>
  </si>
  <si>
    <t>V180</t>
  </si>
  <si>
    <t>V181</t>
  </si>
  <si>
    <t>V182</t>
  </si>
  <si>
    <t>V183</t>
  </si>
  <si>
    <t>V184</t>
  </si>
  <si>
    <t>V185</t>
  </si>
  <si>
    <t>V186</t>
  </si>
  <si>
    <t>V187</t>
  </si>
  <si>
    <t>V188</t>
  </si>
  <si>
    <t>V189</t>
  </si>
  <si>
    <t>V190</t>
  </si>
  <si>
    <t>V191</t>
  </si>
  <si>
    <t>V192</t>
  </si>
  <si>
    <t>V193</t>
  </si>
  <si>
    <t>V194</t>
  </si>
  <si>
    <t>V195</t>
  </si>
  <si>
    <t>V196</t>
  </si>
  <si>
    <t>V197</t>
  </si>
  <si>
    <t>V198</t>
  </si>
  <si>
    <t>V199</t>
  </si>
  <si>
    <t>V200</t>
  </si>
  <si>
    <t>V201</t>
  </si>
  <si>
    <t>V202</t>
  </si>
  <si>
    <t>V203</t>
  </si>
  <si>
    <t>V204</t>
  </si>
  <si>
    <t>V205</t>
  </si>
  <si>
    <t>V206</t>
  </si>
  <si>
    <t>V207</t>
  </si>
  <si>
    <t>V208</t>
  </si>
  <si>
    <t>V209</t>
  </si>
  <si>
    <t>V210</t>
  </si>
  <si>
    <t>V211</t>
  </si>
  <si>
    <t>V212</t>
  </si>
  <si>
    <t>V213</t>
  </si>
  <si>
    <t>V214</t>
  </si>
  <si>
    <t>V215</t>
  </si>
  <si>
    <t>V216</t>
  </si>
  <si>
    <t>V217</t>
  </si>
  <si>
    <t>V218</t>
  </si>
  <si>
    <t>V219</t>
  </si>
  <si>
    <t>V220</t>
  </si>
  <si>
    <t>V221</t>
  </si>
  <si>
    <t>V222</t>
  </si>
  <si>
    <t>V223</t>
  </si>
  <si>
    <t>V224</t>
  </si>
  <si>
    <t>V225</t>
  </si>
  <si>
    <t>V226</t>
  </si>
  <si>
    <t>V227</t>
  </si>
  <si>
    <t>V228</t>
  </si>
  <si>
    <t>V229</t>
  </si>
  <si>
    <t>V230</t>
  </si>
  <si>
    <t>V231</t>
  </si>
  <si>
    <t>V232</t>
  </si>
  <si>
    <t>V233</t>
  </si>
  <si>
    <t>V234</t>
  </si>
  <si>
    <t>V235</t>
  </si>
  <si>
    <t>V236</t>
  </si>
  <si>
    <t>V237</t>
  </si>
  <si>
    <t>V238</t>
  </si>
  <si>
    <t>V239</t>
  </si>
  <si>
    <t>V240</t>
  </si>
  <si>
    <t>V241</t>
  </si>
  <si>
    <t>V242</t>
  </si>
  <si>
    <t>V243</t>
  </si>
  <si>
    <t>V244</t>
  </si>
  <si>
    <t>V245</t>
  </si>
  <si>
    <t>V246</t>
  </si>
  <si>
    <t>V247</t>
  </si>
  <si>
    <t>V248</t>
  </si>
  <si>
    <t>V249</t>
  </si>
  <si>
    <t>V250</t>
  </si>
  <si>
    <t>V251</t>
  </si>
  <si>
    <t>V252</t>
  </si>
  <si>
    <t>V253</t>
  </si>
  <si>
    <t>V254</t>
  </si>
  <si>
    <t>V255</t>
  </si>
  <si>
    <t>V256</t>
  </si>
  <si>
    <t>V257</t>
  </si>
  <si>
    <t>V258</t>
  </si>
  <si>
    <t>V259</t>
  </si>
  <si>
    <t>V260</t>
  </si>
  <si>
    <t>V261</t>
  </si>
  <si>
    <t>V262</t>
  </si>
  <si>
    <t>V263</t>
  </si>
  <si>
    <t>V264</t>
  </si>
  <si>
    <t>V265</t>
  </si>
  <si>
    <t>V266</t>
  </si>
  <si>
    <t>V267</t>
  </si>
  <si>
    <t>V268</t>
  </si>
  <si>
    <t>V269</t>
  </si>
  <si>
    <t>V270</t>
  </si>
  <si>
    <t>V271</t>
  </si>
  <si>
    <t>V272</t>
  </si>
  <si>
    <t>V273</t>
  </si>
  <si>
    <t>V274</t>
  </si>
  <si>
    <t>V275</t>
  </si>
  <si>
    <t>V276</t>
  </si>
  <si>
    <t>V277</t>
  </si>
  <si>
    <t>V278</t>
  </si>
  <si>
    <t>V279</t>
  </si>
  <si>
    <t>V280</t>
  </si>
  <si>
    <t>V281</t>
  </si>
  <si>
    <t>V282</t>
  </si>
  <si>
    <t>V283</t>
  </si>
  <si>
    <t>V284</t>
  </si>
  <si>
    <t>V285</t>
  </si>
  <si>
    <t>V286</t>
  </si>
  <si>
    <t>V287</t>
  </si>
  <si>
    <t>V288</t>
  </si>
  <si>
    <t>V289</t>
  </si>
  <si>
    <t>V290</t>
  </si>
  <si>
    <t>V291</t>
  </si>
  <si>
    <t>V292</t>
  </si>
  <si>
    <t>V293</t>
  </si>
  <si>
    <t>V294</t>
  </si>
  <si>
    <t>V295</t>
  </si>
  <si>
    <t>V296</t>
  </si>
  <si>
    <t>V297</t>
  </si>
  <si>
    <t>V298</t>
  </si>
  <si>
    <t>V299</t>
  </si>
  <si>
    <t>V300</t>
  </si>
  <si>
    <t>Age Category</t>
  </si>
  <si>
    <t>Viewer Type</t>
  </si>
  <si>
    <t>Engagement Level</t>
  </si>
  <si>
    <t>Row Labels</t>
  </si>
  <si>
    <t>Grand Total</t>
  </si>
  <si>
    <t>Count of Viewer ID</t>
  </si>
  <si>
    <t>46+</t>
  </si>
  <si>
    <t>Binge Watcher</t>
  </si>
  <si>
    <t>18-25</t>
  </si>
  <si>
    <t>Casual Viewer</t>
  </si>
  <si>
    <t>36-45</t>
  </si>
  <si>
    <t>Regular Viewer</t>
  </si>
  <si>
    <t>26-35</t>
  </si>
  <si>
    <t>Column Labels</t>
  </si>
  <si>
    <t>Average of Series Rating</t>
  </si>
  <si>
    <t>Median</t>
  </si>
  <si>
    <t>Mode</t>
  </si>
  <si>
    <t xml:space="preserve">Morning </t>
  </si>
  <si>
    <t xml:space="preserve">             Hours Watched per weak</t>
  </si>
  <si>
    <t>Hours Watched per week</t>
  </si>
  <si>
    <t>Mean</t>
  </si>
  <si>
    <t>Comparision</t>
  </si>
  <si>
    <t>Skewness</t>
  </si>
  <si>
    <t xml:space="preserve">Episodes Watched Per Session	</t>
  </si>
  <si>
    <t>The afternoon viewing period shows slightly higher average watching behavior compared to morning and night, while morning and night remain relatively similar, and the distribution across all three time periods appears fairly balanced with only minor skewness indicating slight variations in viewing patterns.</t>
  </si>
  <si>
    <t>The number of episodes watched per session is quite similar on weekdays and weekends, with viewers generally watching about the same amount, while the weekday data shows slightly more variation and the weekend viewing pattern appears more consistent with only mild positive skewness.</t>
  </si>
  <si>
    <t>Measures of Spread</t>
  </si>
  <si>
    <t>Range</t>
  </si>
  <si>
    <t>Variance</t>
  </si>
  <si>
    <t>Standard Deviation</t>
  </si>
  <si>
    <t>45+</t>
  </si>
  <si>
    <t>Average Series Rating</t>
  </si>
  <si>
    <t>Average hours watched per week</t>
  </si>
  <si>
    <t>Average Episodes Watched per session</t>
  </si>
  <si>
    <t>Maximum hours watched per week</t>
  </si>
  <si>
    <t>Maximum Episodes Watched per session</t>
  </si>
  <si>
    <t xml:space="preserve">       </t>
  </si>
  <si>
    <t>Binge Watching rate(%)</t>
  </si>
  <si>
    <t>Night Viewing Share(%)</t>
  </si>
  <si>
    <t>Hight Engagement Rate(%)</t>
  </si>
  <si>
    <t>Low Enagagement Rate(%)</t>
  </si>
  <si>
    <t>Favourite Genre percentage(Sci-Fi)%</t>
  </si>
  <si>
    <t>High</t>
  </si>
  <si>
    <t>Low</t>
  </si>
  <si>
    <t>Medium</t>
  </si>
  <si>
    <t>TV Series Viewing Behavior Analysis</t>
  </si>
  <si>
    <t>Total Viewers = 300</t>
  </si>
  <si>
    <t>Most Popular Series = Stranger Things</t>
  </si>
  <si>
    <t>Most Popular Genre = Sci-Fi</t>
  </si>
  <si>
    <t>Most Preferred Watching Time = Night</t>
  </si>
  <si>
    <t>Largest Viewer Age Group = 18 - 25</t>
  </si>
  <si>
    <t>Primary Viewer Type = Casual 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</si>
</sst>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name val="Calibri"/>
      <scheme val="minor"/>
    </font>
    <font>
      <sz val="11"/>
      <name val="Calibri"/>
      <family val="2"/>
      <scheme val="minor"/>
    </font>
    <font>
      <b/>
      <sz val="22"/>
      <name val="Calibri"/>
      <family val="2"/>
      <scheme val="minor"/>
    </font>
    <font>
      <b/>
      <sz val="12"/>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0" fontId="0" fillId="5" borderId="0" xfId="0" applyFill="1"/>
    <xf numFmtId="0" fontId="0" fillId="6" borderId="0" xfId="0" applyFill="1"/>
    <xf numFmtId="0" fontId="0" fillId="3" borderId="1" xfId="0" applyFill="1" applyBorder="1"/>
    <xf numFmtId="0" fontId="0" fillId="5" borderId="1" xfId="0" applyFill="1" applyBorder="1" applyAlignment="1">
      <alignment horizontal="center"/>
    </xf>
    <xf numFmtId="0" fontId="1" fillId="5" borderId="1" xfId="0" applyFont="1" applyFill="1" applyBorder="1" applyAlignment="1">
      <alignment horizontal="center"/>
    </xf>
    <xf numFmtId="0" fontId="1" fillId="5" borderId="1" xfId="0" applyFont="1" applyFill="1" applyBorder="1"/>
    <xf numFmtId="0" fontId="0" fillId="2" borderId="1" xfId="0" applyFill="1" applyBorder="1"/>
    <xf numFmtId="164" fontId="0" fillId="2" borderId="1" xfId="0" applyNumberFormat="1" applyFill="1" applyBorder="1" applyAlignment="1">
      <alignment horizontal="center"/>
    </xf>
    <xf numFmtId="164" fontId="0" fillId="2" borderId="1" xfId="0" applyNumberFormat="1" applyFill="1" applyBorder="1"/>
    <xf numFmtId="0" fontId="0" fillId="2" borderId="1" xfId="0" applyFill="1" applyBorder="1" applyAlignment="1">
      <alignment horizontal="center"/>
    </xf>
    <xf numFmtId="0" fontId="1" fillId="2" borderId="1" xfId="0" applyFont="1" applyFill="1" applyBorder="1"/>
    <xf numFmtId="1" fontId="0" fillId="2" borderId="1" xfId="0" applyNumberFormat="1" applyFill="1" applyBorder="1"/>
    <xf numFmtId="0" fontId="0" fillId="6" borderId="1" xfId="0" applyFill="1" applyBorder="1"/>
    <xf numFmtId="0" fontId="1" fillId="2" borderId="1" xfId="0" applyFont="1" applyFill="1" applyBorder="1" applyAlignment="1">
      <alignment vertical="top"/>
    </xf>
    <xf numFmtId="0" fontId="0" fillId="0" borderId="0" xfId="0" applyAlignment="1">
      <alignment vertical="top"/>
    </xf>
    <xf numFmtId="0" fontId="0" fillId="2" borderId="1" xfId="0" applyFill="1" applyBorder="1" applyAlignment="1">
      <alignment vertical="top"/>
    </xf>
    <xf numFmtId="0" fontId="0" fillId="7" borderId="0" xfId="0" applyFill="1"/>
    <xf numFmtId="1" fontId="0" fillId="8" borderId="0" xfId="0" applyNumberFormat="1" applyFill="1"/>
    <xf numFmtId="0" fontId="0" fillId="8" borderId="0" xfId="0" applyFill="1"/>
    <xf numFmtId="2" fontId="0" fillId="8" borderId="0" xfId="0" applyNumberFormat="1" applyFill="1"/>
    <xf numFmtId="0" fontId="1" fillId="0" borderId="0" xfId="0" applyFont="1"/>
    <xf numFmtId="0" fontId="1" fillId="2" borderId="2" xfId="0" applyFont="1" applyFill="1" applyBorder="1" applyAlignment="1">
      <alignment horizontal="center" wrapText="1"/>
    </xf>
    <xf numFmtId="0" fontId="1" fillId="2" borderId="0" xfId="0" applyFont="1" applyFill="1" applyAlignment="1">
      <alignment horizontal="center" wrapText="1"/>
    </xf>
    <xf numFmtId="0" fontId="1" fillId="2" borderId="2" xfId="0" applyFont="1" applyFill="1" applyBorder="1" applyAlignment="1">
      <alignment horizontal="center" vertical="top" wrapText="1"/>
    </xf>
    <xf numFmtId="0" fontId="0" fillId="2" borderId="2" xfId="0" applyFill="1" applyBorder="1" applyAlignment="1">
      <alignment horizontal="center" vertical="top" wrapText="1"/>
    </xf>
    <xf numFmtId="0" fontId="0" fillId="2" borderId="0" xfId="0" applyFill="1" applyAlignment="1">
      <alignment horizontal="center" vertical="top" wrapText="1"/>
    </xf>
    <xf numFmtId="0" fontId="0" fillId="4" borderId="1" xfId="0" applyFill="1" applyBorder="1" applyAlignment="1">
      <alignment horizontal="center"/>
    </xf>
    <xf numFmtId="0" fontId="0" fillId="4" borderId="0" xfId="0" applyFill="1" applyAlignment="1">
      <alignment horizontal="center"/>
    </xf>
    <xf numFmtId="0" fontId="0" fillId="3" borderId="0" xfId="0" applyFill="1" applyAlignment="1">
      <alignment horizontal="center"/>
    </xf>
    <xf numFmtId="0" fontId="0" fillId="0" borderId="0" xfId="0" applyAlignment="1">
      <alignment horizontal="center"/>
    </xf>
    <xf numFmtId="0" fontId="3" fillId="10" borderId="0" xfId="0" applyFont="1" applyFill="1" applyAlignment="1">
      <alignment horizontal="center"/>
    </xf>
    <xf numFmtId="0" fontId="2" fillId="9" borderId="0" xfId="0" applyFont="1" applyFill="1" applyAlignment="1">
      <alignment horizontal="center"/>
    </xf>
  </cellXfs>
  <cellStyles count="1">
    <cellStyle name="Normal" xfId="0" builtinId="0"/>
  </cellStyles>
  <dxfs count="1">
    <dxf>
      <numFmt numFmtId="164" formatCode="0.0"/>
    </dxf>
  </dxfs>
  <tableStyles count="0" defaultTableStyle="TableStyleMedium2" defaultPivotStyle="PivotStyleLight16"/>
  <colors>
    <mruColors>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a:t>
            </a:r>
            <a:r>
              <a:rPr lang="en-US" baseline="0"/>
              <a:t> popular TV series</a:t>
            </a:r>
            <a:endParaRPr lang="en-US"/>
          </a:p>
        </c:rich>
      </c:tx>
      <c:layout>
        <c:manualLayout>
          <c:xMode val="edge"/>
          <c:yMode val="edge"/>
          <c:x val="0.30832078510106553"/>
          <c:y val="0.2099312484724834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5095000575131E-2"/>
          <c:y val="0.30043057370865078"/>
          <c:w val="0.81913317857180201"/>
          <c:h val="0.37190857215722528"/>
        </c:manualLayout>
      </c:layout>
      <c:barChart>
        <c:barDir val="col"/>
        <c:grouping val="clustered"/>
        <c:varyColors val="0"/>
        <c:ser>
          <c:idx val="0"/>
          <c:order val="0"/>
          <c:tx>
            <c:strRef>
              <c:f>Sheet1!$B$1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Sheet1!$A$2:$A$27</c:f>
              <c:strCache>
                <c:ptCount val="25"/>
                <c:pt idx="0">
                  <c:v>Stranger Things</c:v>
                </c:pt>
                <c:pt idx="1">
                  <c:v>The Mandalorian</c:v>
                </c:pt>
                <c:pt idx="2">
                  <c:v>Narcos</c:v>
                </c:pt>
                <c:pt idx="3">
                  <c:v>Wednesday</c:v>
                </c:pt>
                <c:pt idx="4">
                  <c:v>How I Met Your Mother</c:v>
                </c:pt>
                <c:pt idx="5">
                  <c:v>Loki</c:v>
                </c:pt>
                <c:pt idx="6">
                  <c:v>The Office</c:v>
                </c:pt>
                <c:pt idx="7">
                  <c:v>Lost</c:v>
                </c:pt>
                <c:pt idx="8">
                  <c:v>Modern Family</c:v>
                </c:pt>
                <c:pt idx="9">
                  <c:v>House of the Dragon</c:v>
                </c:pt>
                <c:pt idx="10">
                  <c:v>The Boys</c:v>
                </c:pt>
                <c:pt idx="11">
                  <c:v>Money Heist</c:v>
                </c:pt>
                <c:pt idx="12">
                  <c:v>Peaky Blinders</c:v>
                </c:pt>
                <c:pt idx="13">
                  <c:v>Dark</c:v>
                </c:pt>
                <c:pt idx="14">
                  <c:v>Breaking Bad</c:v>
                </c:pt>
                <c:pt idx="15">
                  <c:v>Better Call Saul</c:v>
                </c:pt>
                <c:pt idx="16">
                  <c:v>The Witcher</c:v>
                </c:pt>
                <c:pt idx="17">
                  <c:v>Black Mirror</c:v>
                </c:pt>
                <c:pt idx="18">
                  <c:v>Friends</c:v>
                </c:pt>
                <c:pt idx="19">
                  <c:v>Prison Break</c:v>
                </c:pt>
                <c:pt idx="20">
                  <c:v>Game of Thrones</c:v>
                </c:pt>
                <c:pt idx="21">
                  <c:v>True Detective</c:v>
                </c:pt>
                <c:pt idx="22">
                  <c:v>Squid Game</c:v>
                </c:pt>
                <c:pt idx="23">
                  <c:v>Vikings</c:v>
                </c:pt>
                <c:pt idx="24">
                  <c:v>Sherlock</c:v>
                </c:pt>
              </c:strCache>
            </c:strRef>
          </c:cat>
          <c:val>
            <c:numRef>
              <c:f>Sheet1!$B$2:$B$27</c:f>
              <c:numCache>
                <c:formatCode>General</c:formatCode>
                <c:ptCount val="25"/>
                <c:pt idx="0">
                  <c:v>20</c:v>
                </c:pt>
                <c:pt idx="1">
                  <c:v>18</c:v>
                </c:pt>
                <c:pt idx="2">
                  <c:v>15</c:v>
                </c:pt>
                <c:pt idx="3">
                  <c:v>15</c:v>
                </c:pt>
                <c:pt idx="4">
                  <c:v>15</c:v>
                </c:pt>
                <c:pt idx="5">
                  <c:v>14</c:v>
                </c:pt>
                <c:pt idx="6">
                  <c:v>14</c:v>
                </c:pt>
                <c:pt idx="7">
                  <c:v>14</c:v>
                </c:pt>
                <c:pt idx="8">
                  <c:v>14</c:v>
                </c:pt>
                <c:pt idx="9">
                  <c:v>13</c:v>
                </c:pt>
                <c:pt idx="10">
                  <c:v>13</c:v>
                </c:pt>
                <c:pt idx="11">
                  <c:v>13</c:v>
                </c:pt>
                <c:pt idx="12">
                  <c:v>12</c:v>
                </c:pt>
                <c:pt idx="13">
                  <c:v>11</c:v>
                </c:pt>
                <c:pt idx="14">
                  <c:v>11</c:v>
                </c:pt>
                <c:pt idx="15">
                  <c:v>11</c:v>
                </c:pt>
                <c:pt idx="16">
                  <c:v>11</c:v>
                </c:pt>
                <c:pt idx="17">
                  <c:v>11</c:v>
                </c:pt>
                <c:pt idx="18">
                  <c:v>10</c:v>
                </c:pt>
                <c:pt idx="19">
                  <c:v>9</c:v>
                </c:pt>
                <c:pt idx="20">
                  <c:v>9</c:v>
                </c:pt>
                <c:pt idx="21">
                  <c:v>8</c:v>
                </c:pt>
                <c:pt idx="22">
                  <c:v>7</c:v>
                </c:pt>
                <c:pt idx="23">
                  <c:v>6</c:v>
                </c:pt>
                <c:pt idx="24">
                  <c:v>6</c:v>
                </c:pt>
              </c:numCache>
            </c:numRef>
          </c:val>
          <c:extLst>
            <c:ext xmlns:c16="http://schemas.microsoft.com/office/drawing/2014/chart" uri="{C3380CC4-5D6E-409C-BE32-E72D297353CC}">
              <c16:uniqueId val="{00000000-2876-4297-9E81-7132CA6EEBDC}"/>
            </c:ext>
          </c:extLst>
        </c:ser>
        <c:dLbls>
          <c:dLblPos val="outEnd"/>
          <c:showLegendKey val="0"/>
          <c:showVal val="1"/>
          <c:showCatName val="0"/>
          <c:showSerName val="0"/>
          <c:showPercent val="0"/>
          <c:showBubbleSize val="0"/>
        </c:dLbls>
        <c:gapWidth val="100"/>
        <c:overlap val="-24"/>
        <c:axId val="377825615"/>
        <c:axId val="377822735"/>
      </c:barChart>
      <c:catAx>
        <c:axId val="3778256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TV</a:t>
                </a:r>
                <a:r>
                  <a:rPr lang="en-IN" baseline="0"/>
                  <a:t> series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22735"/>
        <c:crosses val="autoZero"/>
        <c:auto val="1"/>
        <c:lblAlgn val="ctr"/>
        <c:lblOffset val="100"/>
        <c:noMultiLvlLbl val="0"/>
      </c:catAx>
      <c:valAx>
        <c:axId val="3778227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viewers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2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Most</a:t>
            </a:r>
            <a:r>
              <a:rPr lang="en-US" sz="1600" baseline="0"/>
              <a:t>  Popular Genre</a:t>
            </a:r>
            <a:endParaRPr lang="en-US" sz="1600"/>
          </a:p>
        </c:rich>
      </c:tx>
      <c:layout>
        <c:manualLayout>
          <c:xMode val="edge"/>
          <c:yMode val="edge"/>
          <c:x val="0.31897623173147927"/>
          <c:y val="0.203901566128596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2918576682093"/>
          <c:y val="0.29024087994666387"/>
          <c:w val="0.73569901081306333"/>
          <c:h val="0.33999811638276095"/>
        </c:manualLayout>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2"/>
              <c:pt idx="0">
                <c:v>Sci-Fi</c:v>
              </c:pt>
              <c:pt idx="1">
                <c:v>Comedy</c:v>
              </c:pt>
              <c:pt idx="2">
                <c:v>Crime/Drama</c:v>
              </c:pt>
              <c:pt idx="3">
                <c:v>Fantasy</c:v>
              </c:pt>
              <c:pt idx="4">
                <c:v>Mystery/Comedy</c:v>
              </c:pt>
              <c:pt idx="5">
                <c:v>Crime</c:v>
              </c:pt>
              <c:pt idx="6">
                <c:v>Mystery/Drama</c:v>
              </c:pt>
              <c:pt idx="7">
                <c:v>Action/Sci-Fi</c:v>
              </c:pt>
              <c:pt idx="8">
                <c:v>Crime/Thriller</c:v>
              </c:pt>
              <c:pt idx="9">
                <c:v>Thriller</c:v>
              </c:pt>
              <c:pt idx="10">
                <c:v>Historical/Drama</c:v>
              </c:pt>
              <c:pt idx="11">
                <c:v>Crime/Mystery</c:v>
              </c:pt>
            </c:strLit>
          </c:cat>
          <c:val>
            <c:numLit>
              <c:formatCode>General</c:formatCode>
              <c:ptCount val="12"/>
              <c:pt idx="0">
                <c:v>74</c:v>
              </c:pt>
              <c:pt idx="1">
                <c:v>53</c:v>
              </c:pt>
              <c:pt idx="2">
                <c:v>51</c:v>
              </c:pt>
              <c:pt idx="3">
                <c:v>33</c:v>
              </c:pt>
              <c:pt idx="4">
                <c:v>15</c:v>
              </c:pt>
              <c:pt idx="5">
                <c:v>15</c:v>
              </c:pt>
              <c:pt idx="6">
                <c:v>14</c:v>
              </c:pt>
              <c:pt idx="7">
                <c:v>13</c:v>
              </c:pt>
              <c:pt idx="8">
                <c:v>13</c:v>
              </c:pt>
              <c:pt idx="9">
                <c:v>7</c:v>
              </c:pt>
              <c:pt idx="10">
                <c:v>6</c:v>
              </c:pt>
              <c:pt idx="11">
                <c:v>6</c:v>
              </c:pt>
            </c:numLit>
          </c:val>
          <c:extLst>
            <c:ext xmlns:c16="http://schemas.microsoft.com/office/drawing/2014/chart" uri="{C3380CC4-5D6E-409C-BE32-E72D297353CC}">
              <c16:uniqueId val="{00000000-0F3C-475A-9DCE-2199484150E7}"/>
            </c:ext>
          </c:extLst>
        </c:ser>
        <c:dLbls>
          <c:dLblPos val="outEnd"/>
          <c:showLegendKey val="0"/>
          <c:showVal val="1"/>
          <c:showCatName val="0"/>
          <c:showSerName val="0"/>
          <c:showPercent val="0"/>
          <c:showBubbleSize val="0"/>
        </c:dLbls>
        <c:gapWidth val="100"/>
        <c:overlap val="-24"/>
        <c:axId val="377844335"/>
        <c:axId val="377844815"/>
      </c:barChart>
      <c:catAx>
        <c:axId val="3778443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44815"/>
        <c:crosses val="autoZero"/>
        <c:auto val="1"/>
        <c:lblAlgn val="ctr"/>
        <c:lblOffset val="100"/>
        <c:noMultiLvlLbl val="0"/>
      </c:catAx>
      <c:valAx>
        <c:axId val="3778448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Vievers</a:t>
                </a:r>
                <a:endParaRPr lang="en-IN"/>
              </a:p>
            </c:rich>
          </c:tx>
          <c:layout>
            <c:manualLayout>
              <c:xMode val="edge"/>
              <c:yMode val="edge"/>
              <c:x val="2.5000000000000001E-2"/>
              <c:y val="0.2067696338822339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Viewer Type</a:t>
            </a:r>
          </a:p>
        </c:rich>
      </c:tx>
      <c:layout>
        <c:manualLayout>
          <c:xMode val="edge"/>
          <c:yMode val="edge"/>
          <c:x val="0.38624203821656045"/>
          <c:y val="0.1686599202698558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0249093067189"/>
          <c:y val="0.2714811407543698"/>
          <c:w val="0.79508668104385039"/>
          <c:h val="0.59609534778713835"/>
        </c:manualLayout>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Casual Viewer</c:v>
              </c:pt>
              <c:pt idx="1">
                <c:v>Regular Viewer</c:v>
              </c:pt>
              <c:pt idx="2">
                <c:v>Binge Watcher</c:v>
              </c:pt>
            </c:strLit>
          </c:cat>
          <c:val>
            <c:numLit>
              <c:formatCode>General</c:formatCode>
              <c:ptCount val="3"/>
              <c:pt idx="0">
                <c:v>123</c:v>
              </c:pt>
              <c:pt idx="1">
                <c:v>117</c:v>
              </c:pt>
              <c:pt idx="2">
                <c:v>60</c:v>
              </c:pt>
            </c:numLit>
          </c:val>
          <c:extLst>
            <c:ext xmlns:c16="http://schemas.microsoft.com/office/drawing/2014/chart" uri="{C3380CC4-5D6E-409C-BE32-E72D297353CC}">
              <c16:uniqueId val="{00000000-B53F-49CE-9D21-A50D8A66F05B}"/>
            </c:ext>
          </c:extLst>
        </c:ser>
        <c:dLbls>
          <c:dLblPos val="outEnd"/>
          <c:showLegendKey val="0"/>
          <c:showVal val="1"/>
          <c:showCatName val="0"/>
          <c:showSerName val="0"/>
          <c:showPercent val="0"/>
          <c:showBubbleSize val="0"/>
        </c:dLbls>
        <c:gapWidth val="100"/>
        <c:overlap val="-24"/>
        <c:axId val="377843375"/>
        <c:axId val="377849615"/>
      </c:barChart>
      <c:catAx>
        <c:axId val="377843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Viewer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49615"/>
        <c:crosses val="autoZero"/>
        <c:auto val="1"/>
        <c:lblAlgn val="ctr"/>
        <c:lblOffset val="100"/>
        <c:noMultiLvlLbl val="0"/>
      </c:catAx>
      <c:valAx>
        <c:axId val="3778496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Viewers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4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analysis.xlsx]Sheet2!PivotTable5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Preferred Watching time</a:t>
            </a:r>
          </a:p>
        </c:rich>
      </c:tx>
      <c:layout>
        <c:manualLayout>
          <c:xMode val="edge"/>
          <c:yMode val="edge"/>
          <c:x val="0.27195311319069404"/>
          <c:y val="0.2558683562063235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646264766646"/>
          <c:y val="0.35979436602134807"/>
          <c:w val="0.75999367880062108"/>
          <c:h val="0.47802052772848475"/>
        </c:manualLayout>
      </c:layout>
      <c:barChart>
        <c:barDir val="col"/>
        <c:grouping val="clustered"/>
        <c:varyColors val="0"/>
        <c:ser>
          <c:idx val="0"/>
          <c:order val="0"/>
          <c:tx>
            <c:strRef>
              <c:f>Sheet2!$B$1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Sheet2!$A$2:$A$5</c:f>
              <c:strCache>
                <c:ptCount val="3"/>
                <c:pt idx="0">
                  <c:v>Night</c:v>
                </c:pt>
                <c:pt idx="1">
                  <c:v>Afternoon</c:v>
                </c:pt>
                <c:pt idx="2">
                  <c:v>Morning</c:v>
                </c:pt>
              </c:strCache>
            </c:strRef>
          </c:cat>
          <c:val>
            <c:numRef>
              <c:f>Sheet2!$B$2:$B$5</c:f>
              <c:numCache>
                <c:formatCode>General</c:formatCode>
                <c:ptCount val="3"/>
                <c:pt idx="0">
                  <c:v>140</c:v>
                </c:pt>
                <c:pt idx="1">
                  <c:v>90</c:v>
                </c:pt>
                <c:pt idx="2">
                  <c:v>70</c:v>
                </c:pt>
              </c:numCache>
            </c:numRef>
          </c:val>
          <c:extLst>
            <c:ext xmlns:c16="http://schemas.microsoft.com/office/drawing/2014/chart" uri="{C3380CC4-5D6E-409C-BE32-E72D297353CC}">
              <c16:uniqueId val="{00000000-CF42-49F3-B6E5-DEBE2DA6935E}"/>
            </c:ext>
          </c:extLst>
        </c:ser>
        <c:dLbls>
          <c:dLblPos val="outEnd"/>
          <c:showLegendKey val="0"/>
          <c:showVal val="1"/>
          <c:showCatName val="0"/>
          <c:showSerName val="0"/>
          <c:showPercent val="0"/>
          <c:showBubbleSize val="0"/>
        </c:dLbls>
        <c:gapWidth val="100"/>
        <c:overlap val="-24"/>
        <c:axId val="377851055"/>
        <c:axId val="377852015"/>
      </c:barChart>
      <c:catAx>
        <c:axId val="3778510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Preferred watching time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2015"/>
        <c:crosses val="autoZero"/>
        <c:auto val="1"/>
        <c:lblAlgn val="ctr"/>
        <c:lblOffset val="100"/>
        <c:noMultiLvlLbl val="0"/>
      </c:catAx>
      <c:valAx>
        <c:axId val="37785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viewers</a:t>
                </a:r>
              </a:p>
            </c:rich>
          </c:tx>
          <c:layout>
            <c:manualLayout>
              <c:xMode val="edge"/>
              <c:yMode val="edge"/>
              <c:x val="1.2652017974193014E-2"/>
              <c:y val="0.4701313524937355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analysis.xlsx]Sheet2!PivotTable9</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Rating by Genre</a:t>
            </a:r>
          </a:p>
        </c:rich>
      </c:tx>
      <c:layout>
        <c:manualLayout>
          <c:xMode val="edge"/>
          <c:yMode val="edge"/>
          <c:x val="0.31648224988473944"/>
          <c:y val="0.1820128543592615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3779907946295"/>
          <c:y val="0.28911434898762656"/>
          <c:w val="0.64028072735721309"/>
          <c:h val="0.55719851424821887"/>
        </c:manualLayout>
      </c:layout>
      <c:barChart>
        <c:barDir val="bar"/>
        <c:grouping val="clustered"/>
        <c:varyColors val="0"/>
        <c:ser>
          <c:idx val="0"/>
          <c:order val="0"/>
          <c:tx>
            <c:strRef>
              <c:f>Sheet2!$L$1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Sheet2!$K$2:$K$14</c:f>
              <c:strCache>
                <c:ptCount val="12"/>
                <c:pt idx="0">
                  <c:v>Fantasy</c:v>
                </c:pt>
                <c:pt idx="1">
                  <c:v>Sci-Fi</c:v>
                </c:pt>
                <c:pt idx="2">
                  <c:v>Comedy</c:v>
                </c:pt>
                <c:pt idx="3">
                  <c:v>Mystery/Comedy</c:v>
                </c:pt>
                <c:pt idx="4">
                  <c:v>Crime</c:v>
                </c:pt>
                <c:pt idx="5">
                  <c:v>Crime/Drama</c:v>
                </c:pt>
                <c:pt idx="6">
                  <c:v>Crime/Thriller</c:v>
                </c:pt>
                <c:pt idx="7">
                  <c:v>Action/Sci-Fi</c:v>
                </c:pt>
                <c:pt idx="8">
                  <c:v>Mystery/Drama</c:v>
                </c:pt>
                <c:pt idx="9">
                  <c:v>Historical/Drama</c:v>
                </c:pt>
                <c:pt idx="10">
                  <c:v>Thriller</c:v>
                </c:pt>
                <c:pt idx="11">
                  <c:v>Crime/Mystery</c:v>
                </c:pt>
              </c:strCache>
            </c:strRef>
          </c:cat>
          <c:val>
            <c:numRef>
              <c:f>Sheet2!$L$2:$L$14</c:f>
              <c:numCache>
                <c:formatCode>0.0</c:formatCode>
                <c:ptCount val="12"/>
                <c:pt idx="0">
                  <c:v>9.1212121212121211</c:v>
                </c:pt>
                <c:pt idx="1">
                  <c:v>8.9594594594594597</c:v>
                </c:pt>
                <c:pt idx="2">
                  <c:v>8.3396226415094343</c:v>
                </c:pt>
                <c:pt idx="3">
                  <c:v>7.8666666666666663</c:v>
                </c:pt>
                <c:pt idx="4">
                  <c:v>6.666666666666667</c:v>
                </c:pt>
                <c:pt idx="5">
                  <c:v>6.5882352941176467</c:v>
                </c:pt>
                <c:pt idx="6">
                  <c:v>6.5384615384615383</c:v>
                </c:pt>
                <c:pt idx="7">
                  <c:v>6.1538461538461542</c:v>
                </c:pt>
                <c:pt idx="8">
                  <c:v>6.0714285714285712</c:v>
                </c:pt>
                <c:pt idx="9">
                  <c:v>6</c:v>
                </c:pt>
                <c:pt idx="10">
                  <c:v>5.1428571428571432</c:v>
                </c:pt>
                <c:pt idx="11">
                  <c:v>4.5</c:v>
                </c:pt>
              </c:numCache>
            </c:numRef>
          </c:val>
          <c:extLst>
            <c:ext xmlns:c16="http://schemas.microsoft.com/office/drawing/2014/chart" uri="{C3380CC4-5D6E-409C-BE32-E72D297353CC}">
              <c16:uniqueId val="{00000000-FD63-423F-B640-4AA95F555F44}"/>
            </c:ext>
          </c:extLst>
        </c:ser>
        <c:dLbls>
          <c:dLblPos val="outEnd"/>
          <c:showLegendKey val="0"/>
          <c:showVal val="1"/>
          <c:showCatName val="0"/>
          <c:showSerName val="0"/>
          <c:showPercent val="0"/>
          <c:showBubbleSize val="0"/>
        </c:dLbls>
        <c:gapWidth val="115"/>
        <c:overlap val="-20"/>
        <c:axId val="686702655"/>
        <c:axId val="686707935"/>
      </c:barChart>
      <c:catAx>
        <c:axId val="68670265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07935"/>
        <c:crosses val="autoZero"/>
        <c:auto val="1"/>
        <c:lblAlgn val="ctr"/>
        <c:lblOffset val="100"/>
        <c:noMultiLvlLbl val="0"/>
      </c:catAx>
      <c:valAx>
        <c:axId val="6867079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 Rating</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0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analysis.xlsx]Sheet5!PivotTable1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Catergory Distribution</a:t>
            </a:r>
          </a:p>
        </c:rich>
      </c:tx>
      <c:layout>
        <c:manualLayout>
          <c:xMode val="edge"/>
          <c:yMode val="edge"/>
          <c:x val="0.22903480514244196"/>
          <c:y val="0.207941257234706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6697265190237592"/>
          <c:y val="0.378281601531606"/>
          <c:w val="0.37435372978239956"/>
          <c:h val="0.52145100363558972"/>
        </c:manualLayout>
      </c:layout>
      <c:pieChart>
        <c:varyColors val="1"/>
        <c:ser>
          <c:idx val="0"/>
          <c:order val="0"/>
          <c:tx>
            <c:strRef>
              <c:f>Sheet5!$B$7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573-4840-8B9E-F3010A7F78F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573-4840-8B9E-F3010A7F78F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573-4840-8B9E-F3010A7F78F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573-4840-8B9E-F3010A7F7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Sheet5!$A$8:$A$12</c:f>
              <c:strCache>
                <c:ptCount val="4"/>
                <c:pt idx="0">
                  <c:v>18-25</c:v>
                </c:pt>
                <c:pt idx="1">
                  <c:v>26-35</c:v>
                </c:pt>
                <c:pt idx="2">
                  <c:v>36-45</c:v>
                </c:pt>
                <c:pt idx="3">
                  <c:v>46+</c:v>
                </c:pt>
              </c:strCache>
            </c:strRef>
          </c:cat>
          <c:val>
            <c:numRef>
              <c:f>Sheet5!$B$8:$B$12</c:f>
              <c:numCache>
                <c:formatCode>General</c:formatCode>
                <c:ptCount val="4"/>
                <c:pt idx="0">
                  <c:v>180</c:v>
                </c:pt>
                <c:pt idx="1">
                  <c:v>75</c:v>
                </c:pt>
                <c:pt idx="2">
                  <c:v>32</c:v>
                </c:pt>
                <c:pt idx="3">
                  <c:v>13</c:v>
                </c:pt>
              </c:numCache>
            </c:numRef>
          </c:val>
          <c:extLst>
            <c:ext xmlns:c16="http://schemas.microsoft.com/office/drawing/2014/chart" uri="{C3380CC4-5D6E-409C-BE32-E72D297353CC}">
              <c16:uniqueId val="{00000000-8DC5-4B46-8FD8-5231766D07F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analysis.xlsx]Sheet5!PivotTable2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Engagement level of viewers</a:t>
            </a:r>
          </a:p>
        </c:rich>
      </c:tx>
      <c:layout>
        <c:manualLayout>
          <c:xMode val="edge"/>
          <c:yMode val="edge"/>
          <c:x val="0.14477777777777776"/>
          <c:y val="0.2533542812017973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23473337707786526"/>
          <c:y val="0.38019364984488585"/>
          <c:w val="0.29782042869641295"/>
          <c:h val="0.51251828358967366"/>
        </c:manualLayout>
      </c:layout>
      <c:doughnutChart>
        <c:varyColors val="1"/>
        <c:ser>
          <c:idx val="0"/>
          <c:order val="0"/>
          <c:tx>
            <c:strRef>
              <c:f>Sheet5!$G$7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E24-48FA-BBDE-30E0C231865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E24-48FA-BBDE-30E0C231865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E24-48FA-BBDE-30E0C231865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Sheet5!$F$8:$F$11</c:f>
              <c:strCache>
                <c:ptCount val="3"/>
                <c:pt idx="0">
                  <c:v>Low</c:v>
                </c:pt>
                <c:pt idx="1">
                  <c:v>Medium</c:v>
                </c:pt>
                <c:pt idx="2">
                  <c:v>High</c:v>
                </c:pt>
              </c:strCache>
            </c:strRef>
          </c:cat>
          <c:val>
            <c:numRef>
              <c:f>Sheet5!$G$8:$G$11</c:f>
              <c:numCache>
                <c:formatCode>General</c:formatCode>
                <c:ptCount val="3"/>
                <c:pt idx="0">
                  <c:v>109</c:v>
                </c:pt>
                <c:pt idx="1">
                  <c:v>105</c:v>
                </c:pt>
                <c:pt idx="2">
                  <c:v>86</c:v>
                </c:pt>
              </c:numCache>
            </c:numRef>
          </c:val>
          <c:extLst>
            <c:ext xmlns:c16="http://schemas.microsoft.com/office/drawing/2014/chart" uri="{C3380CC4-5D6E-409C-BE32-E72D297353CC}">
              <c16:uniqueId val="{00000000-8DFD-4D56-9B09-672265177E4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analysis.xlsx]Sheet5!PivotTable5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distribution of viewers</a:t>
            </a:r>
          </a:p>
        </c:rich>
      </c:tx>
      <c:layout>
        <c:manualLayout>
          <c:xMode val="edge"/>
          <c:yMode val="edge"/>
          <c:x val="0.19037489063867016"/>
          <c:y val="0.2813867016622922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3233639545056867"/>
          <c:y val="0.40721930592009331"/>
          <c:w val="0.29214238845144352"/>
          <c:h val="0.48690398075240587"/>
        </c:manualLayout>
      </c:layout>
      <c:pieChart>
        <c:varyColors val="1"/>
        <c:ser>
          <c:idx val="0"/>
          <c:order val="0"/>
          <c:tx>
            <c:strRef>
              <c:f>Sheet5!$B$24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EB3-494B-9B28-9C1C14476D1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EB3-494B-9B28-9C1C14476D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Sheet5!$A$25:$A$27</c:f>
              <c:strCache>
                <c:ptCount val="2"/>
                <c:pt idx="0">
                  <c:v>Female</c:v>
                </c:pt>
                <c:pt idx="1">
                  <c:v>Male</c:v>
                </c:pt>
              </c:strCache>
            </c:strRef>
          </c:cat>
          <c:val>
            <c:numRef>
              <c:f>Sheet5!$B$25:$B$27</c:f>
              <c:numCache>
                <c:formatCode>General</c:formatCode>
                <c:ptCount val="2"/>
                <c:pt idx="0">
                  <c:v>139</c:v>
                </c:pt>
                <c:pt idx="1">
                  <c:v>161</c:v>
                </c:pt>
              </c:numCache>
            </c:numRef>
          </c:val>
          <c:extLst>
            <c:ext xmlns:c16="http://schemas.microsoft.com/office/drawing/2014/chart" uri="{C3380CC4-5D6E-409C-BE32-E72D297353CC}">
              <c16:uniqueId val="{00000000-9EB3-494B-9B28-9C1C14476D1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analysis.xlsx]Sheet5!PivotTable6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Preferred watching  time</a:t>
            </a:r>
          </a:p>
        </c:rich>
      </c:tx>
      <c:layout>
        <c:manualLayout>
          <c:xMode val="edge"/>
          <c:yMode val="edge"/>
          <c:x val="0.17155555555555557"/>
          <c:y val="0.2175925925925925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21722506561679791"/>
          <c:y val="0.33777486147564895"/>
          <c:w val="0.33380905511811021"/>
          <c:h val="0.55634842519685035"/>
        </c:manualLayout>
      </c:layout>
      <c:doughnutChart>
        <c:varyColors val="1"/>
        <c:ser>
          <c:idx val="0"/>
          <c:order val="0"/>
          <c:tx>
            <c:strRef>
              <c:f>Sheet5!$G$24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99DE-4212-986F-1F5BA106121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99DE-4212-986F-1F5BA106121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99DE-4212-986F-1F5BA106121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Sheet5!$F$25:$F$28</c:f>
              <c:strCache>
                <c:ptCount val="3"/>
                <c:pt idx="0">
                  <c:v>Afternoon</c:v>
                </c:pt>
                <c:pt idx="1">
                  <c:v>Morning</c:v>
                </c:pt>
                <c:pt idx="2">
                  <c:v>Night</c:v>
                </c:pt>
              </c:strCache>
            </c:strRef>
          </c:cat>
          <c:val>
            <c:numRef>
              <c:f>Sheet5!$G$25:$G$28</c:f>
              <c:numCache>
                <c:formatCode>General</c:formatCode>
                <c:ptCount val="3"/>
                <c:pt idx="0">
                  <c:v>90</c:v>
                </c:pt>
                <c:pt idx="1">
                  <c:v>70</c:v>
                </c:pt>
                <c:pt idx="2">
                  <c:v>140</c:v>
                </c:pt>
              </c:numCache>
            </c:numRef>
          </c:val>
          <c:extLst>
            <c:ext xmlns:c16="http://schemas.microsoft.com/office/drawing/2014/chart" uri="{C3380CC4-5D6E-409C-BE32-E72D297353CC}">
              <c16:uniqueId val="{00000000-7D8F-4C58-B0D8-430A0533F88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analysis.xlsx]Sheet1!PivotTable1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a:t>
            </a:r>
            <a:r>
              <a:rPr lang="en-US" baseline="0"/>
              <a:t> popular TV series</a:t>
            </a:r>
            <a:endParaRPr lang="en-US"/>
          </a:p>
        </c:rich>
      </c:tx>
      <c:layout>
        <c:manualLayout>
          <c:xMode val="edge"/>
          <c:yMode val="edge"/>
          <c:x val="0.30832078510106553"/>
          <c:y val="0.2099312484724834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5095000575131E-2"/>
          <c:y val="0.30043057370865078"/>
          <c:w val="0.81913317857180201"/>
          <c:h val="0.37190857215722528"/>
        </c:manualLayout>
      </c:layout>
      <c:barChart>
        <c:barDir val="col"/>
        <c:grouping val="clustered"/>
        <c:varyColors val="0"/>
        <c:ser>
          <c:idx val="0"/>
          <c:order val="0"/>
          <c:tx>
            <c:strRef>
              <c:f>Sheet1!$B$1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Sheet1!$A$2:$A$27</c:f>
              <c:strCache>
                <c:ptCount val="25"/>
                <c:pt idx="0">
                  <c:v>Stranger Things</c:v>
                </c:pt>
                <c:pt idx="1">
                  <c:v>The Mandalorian</c:v>
                </c:pt>
                <c:pt idx="2">
                  <c:v>Narcos</c:v>
                </c:pt>
                <c:pt idx="3">
                  <c:v>Wednesday</c:v>
                </c:pt>
                <c:pt idx="4">
                  <c:v>How I Met Your Mother</c:v>
                </c:pt>
                <c:pt idx="5">
                  <c:v>Loki</c:v>
                </c:pt>
                <c:pt idx="6">
                  <c:v>The Office</c:v>
                </c:pt>
                <c:pt idx="7">
                  <c:v>Lost</c:v>
                </c:pt>
                <c:pt idx="8">
                  <c:v>Modern Family</c:v>
                </c:pt>
                <c:pt idx="9">
                  <c:v>House of the Dragon</c:v>
                </c:pt>
                <c:pt idx="10">
                  <c:v>The Boys</c:v>
                </c:pt>
                <c:pt idx="11">
                  <c:v>Money Heist</c:v>
                </c:pt>
                <c:pt idx="12">
                  <c:v>Peaky Blinders</c:v>
                </c:pt>
                <c:pt idx="13">
                  <c:v>Dark</c:v>
                </c:pt>
                <c:pt idx="14">
                  <c:v>Breaking Bad</c:v>
                </c:pt>
                <c:pt idx="15">
                  <c:v>Better Call Saul</c:v>
                </c:pt>
                <c:pt idx="16">
                  <c:v>The Witcher</c:v>
                </c:pt>
                <c:pt idx="17">
                  <c:v>Black Mirror</c:v>
                </c:pt>
                <c:pt idx="18">
                  <c:v>Friends</c:v>
                </c:pt>
                <c:pt idx="19">
                  <c:v>Prison Break</c:v>
                </c:pt>
                <c:pt idx="20">
                  <c:v>Game of Thrones</c:v>
                </c:pt>
                <c:pt idx="21">
                  <c:v>True Detective</c:v>
                </c:pt>
                <c:pt idx="22">
                  <c:v>Squid Game</c:v>
                </c:pt>
                <c:pt idx="23">
                  <c:v>Vikings</c:v>
                </c:pt>
                <c:pt idx="24">
                  <c:v>Sherlock</c:v>
                </c:pt>
              </c:strCache>
            </c:strRef>
          </c:cat>
          <c:val>
            <c:numRef>
              <c:f>Sheet1!$B$2:$B$27</c:f>
              <c:numCache>
                <c:formatCode>General</c:formatCode>
                <c:ptCount val="25"/>
                <c:pt idx="0">
                  <c:v>20</c:v>
                </c:pt>
                <c:pt idx="1">
                  <c:v>18</c:v>
                </c:pt>
                <c:pt idx="2">
                  <c:v>15</c:v>
                </c:pt>
                <c:pt idx="3">
                  <c:v>15</c:v>
                </c:pt>
                <c:pt idx="4">
                  <c:v>15</c:v>
                </c:pt>
                <c:pt idx="5">
                  <c:v>14</c:v>
                </c:pt>
                <c:pt idx="6">
                  <c:v>14</c:v>
                </c:pt>
                <c:pt idx="7">
                  <c:v>14</c:v>
                </c:pt>
                <c:pt idx="8">
                  <c:v>14</c:v>
                </c:pt>
                <c:pt idx="9">
                  <c:v>13</c:v>
                </c:pt>
                <c:pt idx="10">
                  <c:v>13</c:v>
                </c:pt>
                <c:pt idx="11">
                  <c:v>13</c:v>
                </c:pt>
                <c:pt idx="12">
                  <c:v>12</c:v>
                </c:pt>
                <c:pt idx="13">
                  <c:v>11</c:v>
                </c:pt>
                <c:pt idx="14">
                  <c:v>11</c:v>
                </c:pt>
                <c:pt idx="15">
                  <c:v>11</c:v>
                </c:pt>
                <c:pt idx="16">
                  <c:v>11</c:v>
                </c:pt>
                <c:pt idx="17">
                  <c:v>11</c:v>
                </c:pt>
                <c:pt idx="18">
                  <c:v>10</c:v>
                </c:pt>
                <c:pt idx="19">
                  <c:v>9</c:v>
                </c:pt>
                <c:pt idx="20">
                  <c:v>9</c:v>
                </c:pt>
                <c:pt idx="21">
                  <c:v>8</c:v>
                </c:pt>
                <c:pt idx="22">
                  <c:v>7</c:v>
                </c:pt>
                <c:pt idx="23">
                  <c:v>6</c:v>
                </c:pt>
                <c:pt idx="24">
                  <c:v>6</c:v>
                </c:pt>
              </c:numCache>
            </c:numRef>
          </c:val>
          <c:extLst>
            <c:ext xmlns:c16="http://schemas.microsoft.com/office/drawing/2014/chart" uri="{C3380CC4-5D6E-409C-BE32-E72D297353CC}">
              <c16:uniqueId val="{00000000-853C-498A-B6E3-AD4274CB4101}"/>
            </c:ext>
          </c:extLst>
        </c:ser>
        <c:dLbls>
          <c:dLblPos val="outEnd"/>
          <c:showLegendKey val="0"/>
          <c:showVal val="1"/>
          <c:showCatName val="0"/>
          <c:showSerName val="0"/>
          <c:showPercent val="0"/>
          <c:showBubbleSize val="0"/>
        </c:dLbls>
        <c:gapWidth val="100"/>
        <c:overlap val="-24"/>
        <c:axId val="377825615"/>
        <c:axId val="377822735"/>
      </c:barChart>
      <c:catAx>
        <c:axId val="3778256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TV</a:t>
                </a:r>
                <a:r>
                  <a:rPr lang="en-IN" baseline="0"/>
                  <a:t> series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22735"/>
        <c:crosses val="autoZero"/>
        <c:auto val="1"/>
        <c:lblAlgn val="ctr"/>
        <c:lblOffset val="100"/>
        <c:noMultiLvlLbl val="0"/>
      </c:catAx>
      <c:valAx>
        <c:axId val="37782273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viewers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2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Popular Genre</a:t>
            </a:r>
          </a:p>
        </c:rich>
      </c:tx>
      <c:layout>
        <c:manualLayout>
          <c:xMode val="edge"/>
          <c:yMode val="edge"/>
          <c:x val="0.31897623173147927"/>
          <c:y val="0.203901566128596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2918576682093"/>
          <c:y val="0.29024087994666387"/>
          <c:w val="0.73569901081306333"/>
          <c:h val="0.33999811638276095"/>
        </c:manualLayout>
      </c:layout>
      <c:barChart>
        <c:barDir val="col"/>
        <c:grouping val="clustered"/>
        <c:varyColors val="0"/>
        <c:ser>
          <c:idx val="0"/>
          <c:order val="0"/>
          <c:tx>
            <c:v>Total</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2"/>
              <c:pt idx="0">
                <c:v>Sci-Fi</c:v>
              </c:pt>
              <c:pt idx="1">
                <c:v>Comedy</c:v>
              </c:pt>
              <c:pt idx="2">
                <c:v>Crime/Drama</c:v>
              </c:pt>
              <c:pt idx="3">
                <c:v>Fantasy</c:v>
              </c:pt>
              <c:pt idx="4">
                <c:v>Mystery/Comedy</c:v>
              </c:pt>
              <c:pt idx="5">
                <c:v>Crime</c:v>
              </c:pt>
              <c:pt idx="6">
                <c:v>Mystery/Drama</c:v>
              </c:pt>
              <c:pt idx="7">
                <c:v>Action/Sci-Fi</c:v>
              </c:pt>
              <c:pt idx="8">
                <c:v>Crime/Thriller</c:v>
              </c:pt>
              <c:pt idx="9">
                <c:v>Thriller</c:v>
              </c:pt>
              <c:pt idx="10">
                <c:v>Historical/Drama</c:v>
              </c:pt>
              <c:pt idx="11">
                <c:v>Crime/Mystery</c:v>
              </c:pt>
            </c:strLit>
          </c:cat>
          <c:val>
            <c:numLit>
              <c:formatCode>General</c:formatCode>
              <c:ptCount val="12"/>
              <c:pt idx="0">
                <c:v>74</c:v>
              </c:pt>
              <c:pt idx="1">
                <c:v>53</c:v>
              </c:pt>
              <c:pt idx="2">
                <c:v>51</c:v>
              </c:pt>
              <c:pt idx="3">
                <c:v>33</c:v>
              </c:pt>
              <c:pt idx="4">
                <c:v>15</c:v>
              </c:pt>
              <c:pt idx="5">
                <c:v>15</c:v>
              </c:pt>
              <c:pt idx="6">
                <c:v>14</c:v>
              </c:pt>
              <c:pt idx="7">
                <c:v>13</c:v>
              </c:pt>
              <c:pt idx="8">
                <c:v>13</c:v>
              </c:pt>
              <c:pt idx="9">
                <c:v>7</c:v>
              </c:pt>
              <c:pt idx="10">
                <c:v>6</c:v>
              </c:pt>
              <c:pt idx="11">
                <c:v>6</c:v>
              </c:pt>
            </c:numLit>
          </c:val>
          <c:extLst>
            <c:ext xmlns:c16="http://schemas.microsoft.com/office/drawing/2014/chart" uri="{C3380CC4-5D6E-409C-BE32-E72D297353CC}">
              <c16:uniqueId val="{00000000-F4DF-4961-96EF-D0C4A7C31BA8}"/>
            </c:ext>
          </c:extLst>
        </c:ser>
        <c:dLbls>
          <c:dLblPos val="outEnd"/>
          <c:showLegendKey val="0"/>
          <c:showVal val="1"/>
          <c:showCatName val="0"/>
          <c:showSerName val="0"/>
          <c:showPercent val="0"/>
          <c:showBubbleSize val="0"/>
        </c:dLbls>
        <c:gapWidth val="100"/>
        <c:overlap val="-24"/>
        <c:axId val="377844335"/>
        <c:axId val="377844815"/>
      </c:barChart>
      <c:catAx>
        <c:axId val="3778443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44815"/>
        <c:crosses val="autoZero"/>
        <c:auto val="1"/>
        <c:lblAlgn val="ctr"/>
        <c:lblOffset val="100"/>
        <c:noMultiLvlLbl val="0"/>
      </c:catAx>
      <c:valAx>
        <c:axId val="37784481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Vievers</a:t>
                </a:r>
              </a:p>
            </c:rich>
          </c:tx>
          <c:layout>
            <c:manualLayout>
              <c:xMode val="edge"/>
              <c:yMode val="edge"/>
              <c:x val="2.5000000000000001E-2"/>
              <c:y val="0.2067696338822339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84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analysis.xlsx]Sheet5!PivotTable6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Preferred watching  time</a:t>
            </a:r>
          </a:p>
        </c:rich>
      </c:tx>
      <c:layout>
        <c:manualLayout>
          <c:xMode val="edge"/>
          <c:yMode val="edge"/>
          <c:x val="0.17155555555555557"/>
          <c:y val="0.217592592592592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1722506561679791"/>
          <c:y val="0.33777486147564895"/>
          <c:w val="0.33380905511811021"/>
          <c:h val="0.55634842519685035"/>
        </c:manualLayout>
      </c:layout>
      <c:doughnutChart>
        <c:varyColors val="1"/>
        <c:ser>
          <c:idx val="0"/>
          <c:order val="0"/>
          <c:tx>
            <c:strRef>
              <c:f>Sheet5!$G$24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557-4318-BD9A-13C30532FA5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557-4318-BD9A-13C30532FA5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557-4318-BD9A-13C30532FA5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Sheet5!$F$25:$F$28</c:f>
              <c:strCache>
                <c:ptCount val="3"/>
                <c:pt idx="0">
                  <c:v>Afternoon</c:v>
                </c:pt>
                <c:pt idx="1">
                  <c:v>Morning</c:v>
                </c:pt>
                <c:pt idx="2">
                  <c:v>Night</c:v>
                </c:pt>
              </c:strCache>
            </c:strRef>
          </c:cat>
          <c:val>
            <c:numRef>
              <c:f>Sheet5!$G$25:$G$28</c:f>
              <c:numCache>
                <c:formatCode>General</c:formatCode>
                <c:ptCount val="3"/>
                <c:pt idx="0">
                  <c:v>90</c:v>
                </c:pt>
                <c:pt idx="1">
                  <c:v>70</c:v>
                </c:pt>
                <c:pt idx="2">
                  <c:v>140</c:v>
                </c:pt>
              </c:numCache>
            </c:numRef>
          </c:val>
          <c:extLst>
            <c:ext xmlns:c16="http://schemas.microsoft.com/office/drawing/2014/chart" uri="{C3380CC4-5D6E-409C-BE32-E72D297353CC}">
              <c16:uniqueId val="{00000006-3557-4318-BD9A-13C30532FA5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[tv_series_performance analysis.xlsx]Sheet5!PivotTable1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Catergory Distribution</a:t>
            </a:r>
          </a:p>
        </c:rich>
      </c:tx>
      <c:layout>
        <c:manualLayout>
          <c:xMode val="edge"/>
          <c:yMode val="edge"/>
          <c:x val="0.22903480514244196"/>
          <c:y val="0.207941257234706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6697265190237592"/>
          <c:y val="0.378281601531606"/>
          <c:w val="0.37435372978239956"/>
          <c:h val="0.52145100363558972"/>
        </c:manualLayout>
      </c:layout>
      <c:pieChart>
        <c:varyColors val="1"/>
        <c:ser>
          <c:idx val="0"/>
          <c:order val="0"/>
          <c:tx>
            <c:strRef>
              <c:f>Sheet5!$B$7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219-4F19-8A4F-4C18E28EBB5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219-4F19-8A4F-4C18E28EBB5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219-4F19-8A4F-4C18E28EBB5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219-4F19-8A4F-4C18E28EBB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Sheet5!$A$8:$A$12</c:f>
              <c:strCache>
                <c:ptCount val="4"/>
                <c:pt idx="0">
                  <c:v>18-25</c:v>
                </c:pt>
                <c:pt idx="1">
                  <c:v>26-35</c:v>
                </c:pt>
                <c:pt idx="2">
                  <c:v>36-45</c:v>
                </c:pt>
                <c:pt idx="3">
                  <c:v>46+</c:v>
                </c:pt>
              </c:strCache>
            </c:strRef>
          </c:cat>
          <c:val>
            <c:numRef>
              <c:f>Sheet5!$B$8:$B$12</c:f>
              <c:numCache>
                <c:formatCode>General</c:formatCode>
                <c:ptCount val="4"/>
                <c:pt idx="0">
                  <c:v>180</c:v>
                </c:pt>
                <c:pt idx="1">
                  <c:v>75</c:v>
                </c:pt>
                <c:pt idx="2">
                  <c:v>32</c:v>
                </c:pt>
                <c:pt idx="3">
                  <c:v>13</c:v>
                </c:pt>
              </c:numCache>
            </c:numRef>
          </c:val>
          <c:extLst>
            <c:ext xmlns:c16="http://schemas.microsoft.com/office/drawing/2014/chart" uri="{C3380CC4-5D6E-409C-BE32-E72D297353CC}">
              <c16:uniqueId val="{00000008-4219-4F19-8A4F-4C18E28EBB5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[tv_series_performance analysis.xlsx]Sheet2!PivotTable9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by Genre</a:t>
            </a:r>
          </a:p>
        </c:rich>
      </c:tx>
      <c:layout>
        <c:manualLayout>
          <c:xMode val="edge"/>
          <c:yMode val="edge"/>
          <c:x val="0.2819826702863058"/>
          <c:y val="0.1697048640109782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3779907946295"/>
          <c:y val="0.28911434898762656"/>
          <c:w val="0.64028072735721309"/>
          <c:h val="0.55719851424821887"/>
        </c:manualLayout>
      </c:layout>
      <c:barChart>
        <c:barDir val="bar"/>
        <c:grouping val="clustered"/>
        <c:varyColors val="0"/>
        <c:ser>
          <c:idx val="0"/>
          <c:order val="0"/>
          <c:tx>
            <c:strRef>
              <c:f>Sheet2!$L$1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Sheet2!$K$2:$K$14</c:f>
              <c:strCache>
                <c:ptCount val="12"/>
                <c:pt idx="0">
                  <c:v>Fantasy</c:v>
                </c:pt>
                <c:pt idx="1">
                  <c:v>Sci-Fi</c:v>
                </c:pt>
                <c:pt idx="2">
                  <c:v>Comedy</c:v>
                </c:pt>
                <c:pt idx="3">
                  <c:v>Mystery/Comedy</c:v>
                </c:pt>
                <c:pt idx="4">
                  <c:v>Crime</c:v>
                </c:pt>
                <c:pt idx="5">
                  <c:v>Crime/Drama</c:v>
                </c:pt>
                <c:pt idx="6">
                  <c:v>Crime/Thriller</c:v>
                </c:pt>
                <c:pt idx="7">
                  <c:v>Action/Sci-Fi</c:v>
                </c:pt>
                <c:pt idx="8">
                  <c:v>Mystery/Drama</c:v>
                </c:pt>
                <c:pt idx="9">
                  <c:v>Historical/Drama</c:v>
                </c:pt>
                <c:pt idx="10">
                  <c:v>Thriller</c:v>
                </c:pt>
                <c:pt idx="11">
                  <c:v>Crime/Mystery</c:v>
                </c:pt>
              </c:strCache>
            </c:strRef>
          </c:cat>
          <c:val>
            <c:numRef>
              <c:f>Sheet2!$L$2:$L$14</c:f>
              <c:numCache>
                <c:formatCode>0.0</c:formatCode>
                <c:ptCount val="12"/>
                <c:pt idx="0">
                  <c:v>9.1212121212121211</c:v>
                </c:pt>
                <c:pt idx="1">
                  <c:v>8.9594594594594597</c:v>
                </c:pt>
                <c:pt idx="2">
                  <c:v>8.3396226415094343</c:v>
                </c:pt>
                <c:pt idx="3">
                  <c:v>7.8666666666666663</c:v>
                </c:pt>
                <c:pt idx="4">
                  <c:v>6.666666666666667</c:v>
                </c:pt>
                <c:pt idx="5">
                  <c:v>6.5882352941176467</c:v>
                </c:pt>
                <c:pt idx="6">
                  <c:v>6.5384615384615383</c:v>
                </c:pt>
                <c:pt idx="7">
                  <c:v>6.1538461538461542</c:v>
                </c:pt>
                <c:pt idx="8">
                  <c:v>6.0714285714285712</c:v>
                </c:pt>
                <c:pt idx="9">
                  <c:v>6</c:v>
                </c:pt>
                <c:pt idx="10">
                  <c:v>5.1428571428571432</c:v>
                </c:pt>
                <c:pt idx="11">
                  <c:v>4.5</c:v>
                </c:pt>
              </c:numCache>
            </c:numRef>
          </c:val>
          <c:extLst>
            <c:ext xmlns:c16="http://schemas.microsoft.com/office/drawing/2014/chart" uri="{C3380CC4-5D6E-409C-BE32-E72D297353CC}">
              <c16:uniqueId val="{00000000-9542-44A4-A0D2-522DDF1146D7}"/>
            </c:ext>
          </c:extLst>
        </c:ser>
        <c:dLbls>
          <c:dLblPos val="outEnd"/>
          <c:showLegendKey val="0"/>
          <c:showVal val="1"/>
          <c:showCatName val="0"/>
          <c:showSerName val="0"/>
          <c:showPercent val="0"/>
          <c:showBubbleSize val="0"/>
        </c:dLbls>
        <c:gapWidth val="115"/>
        <c:overlap val="-20"/>
        <c:axId val="686702655"/>
        <c:axId val="686707935"/>
      </c:barChart>
      <c:catAx>
        <c:axId val="6867026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707935"/>
        <c:crosses val="autoZero"/>
        <c:auto val="1"/>
        <c:lblAlgn val="ctr"/>
        <c:lblOffset val="100"/>
        <c:noMultiLvlLbl val="0"/>
      </c:catAx>
      <c:valAx>
        <c:axId val="6867079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Rating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70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txData>
          <cx:v>Distribution of Weekly viewing hours by preferred watching time</cx:v>
        </cx:txData>
      </cx:tx>
      <cx:txPr>
        <a:bodyPr spcFirstLastPara="1" vertOverflow="ellipsis" horzOverflow="overflow" wrap="square" lIns="0" tIns="0" rIns="0" bIns="0" anchor="ctr" anchorCtr="1"/>
        <a:lstStyle/>
        <a:p>
          <a:pPr algn="ctr" rtl="0">
            <a:defRPr b="1"/>
          </a:pPr>
          <a:r>
            <a:rPr lang="en-US" sz="1050" b="1" i="0" u="none" strike="noStrike" baseline="0">
              <a:solidFill>
                <a:sysClr val="windowText" lastClr="000000">
                  <a:lumMod val="65000"/>
                  <a:lumOff val="35000"/>
                </a:sysClr>
              </a:solidFill>
              <a:latin typeface="Calibri"/>
            </a:rPr>
            <a:t>Distribution of Weekly viewing hours by preferred watching time</a:t>
          </a:r>
        </a:p>
      </cx:txPr>
    </cx:title>
    <cx:plotArea>
      <cx:plotAreaRegion>
        <cx:series layoutId="boxWhisker" uniqueId="{F06827A1-7ABE-4652-9330-2B7405C6D612}">
          <cx:tx>
            <cx:txData>
              <cx:f>_xlchart.v1.0</cx:f>
              <cx:v>Morning</cx:v>
            </cx:txData>
          </cx:tx>
          <cx:dataId val="0"/>
          <cx:layoutPr>
            <cx:visibility meanLine="0" meanMarker="1" nonoutliers="0" outliers="1"/>
            <cx:statistics quartileMethod="exclusive"/>
          </cx:layoutPr>
        </cx:series>
        <cx:series layoutId="boxWhisker" uniqueId="{60830E69-2D1C-443D-AE2B-162FB18E8741}">
          <cx:tx>
            <cx:txData>
              <cx:f>_xlchart.v1.2</cx:f>
              <cx:v>Afternoon</cx:v>
            </cx:txData>
          </cx:tx>
          <cx:dataId val="1"/>
          <cx:layoutPr>
            <cx:visibility meanLine="0" meanMarker="1" nonoutliers="0" outliers="1"/>
            <cx:statistics quartileMethod="exclusive"/>
          </cx:layoutPr>
        </cx:series>
        <cx:series layoutId="boxWhisker" uniqueId="{3DCE6048-0ECF-45E7-BD2D-105C70738C54}">
          <cx:tx>
            <cx:txData>
              <cx:f>_xlchart.v1.4</cx:f>
              <cx:v>Night</cx:v>
            </cx:txData>
          </cx:tx>
          <cx:dataId val="2"/>
          <cx:layoutPr>
            <cx:visibility meanLine="0" meanMarker="1" nonoutliers="0" outliers="1"/>
            <cx:statistics quartileMethod="exclusive"/>
          </cx:layoutPr>
        </cx:series>
      </cx:plotAreaRegion>
      <cx:axis id="0">
        <cx:catScaling gapWidth="1"/>
        <cx:title>
          <cx:tx>
            <cx:txData>
              <cx:v>Preferred watching time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Preferred watching time</a:t>
              </a:r>
            </a:p>
          </cx:txPr>
        </cx:title>
        <cx:tickLabels/>
      </cx:axis>
      <cx:axis id="1">
        <cx:valScaling/>
        <cx:title>
          <cx:tx>
            <cx:txData>
              <cx:v>Hours watched per week</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Hours watched per week</a:t>
              </a:r>
            </a:p>
          </cx:txPr>
        </cx:title>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chartData>
  <cx:chart>
    <cx:title pos="t" align="ctr" overlay="0">
      <cx:tx>
        <cx:txData>
          <cx:v>Distribution of episodes watched per session by day type</cx:v>
        </cx:txData>
      </cx:tx>
      <cx:txPr>
        <a:bodyPr spcFirstLastPara="1" vertOverflow="ellipsis" horzOverflow="overflow" wrap="square" lIns="0" tIns="0" rIns="0" bIns="0" anchor="ctr" anchorCtr="1"/>
        <a:lstStyle/>
        <a:p>
          <a:pPr algn="ctr" rtl="0">
            <a:defRPr sz="900" b="1"/>
          </a:pPr>
          <a:r>
            <a:rPr lang="en-US" sz="900" b="1" i="0" u="none" strike="noStrike" baseline="0">
              <a:solidFill>
                <a:sysClr val="windowText" lastClr="000000">
                  <a:lumMod val="65000"/>
                  <a:lumOff val="35000"/>
                </a:sysClr>
              </a:solidFill>
              <a:latin typeface="Calibri"/>
            </a:rPr>
            <a:t>Distribution of episodes watched per session by day type</a:t>
          </a:r>
        </a:p>
      </cx:txPr>
    </cx:title>
    <cx:plotArea>
      <cx:plotAreaRegion>
        <cx:series layoutId="boxWhisker" uniqueId="{B52EB12C-C111-446B-8E52-6394BB353A8C}">
          <cx:tx>
            <cx:txData>
              <cx:f>_xlchart.v1.6</cx:f>
              <cx:v>Weekday</cx:v>
            </cx:txData>
          </cx:tx>
          <cx:dataId val="0"/>
          <cx:layoutPr>
            <cx:visibility meanLine="0" meanMarker="1" nonoutliers="0" outliers="1"/>
            <cx:statistics quartileMethod="exclusive"/>
          </cx:layoutPr>
        </cx:series>
        <cx:series layoutId="boxWhisker" uniqueId="{072F0826-3789-4672-AFDE-F4032930D333}">
          <cx:tx>
            <cx:txData>
              <cx:f>_xlchart.v1.8</cx:f>
              <cx:v>Weekend</cx:v>
            </cx:txData>
          </cx:tx>
          <cx:dataId val="1"/>
          <cx:layoutPr>
            <cx:visibility meanLine="0" meanMarker="1" nonoutliers="0" outliers="1"/>
            <cx:statistics quartileMethod="exclusive"/>
          </cx:layoutPr>
        </cx:series>
      </cx:plotAreaRegion>
      <cx:axis id="0">
        <cx:catScaling gapWidth="1"/>
        <cx:title>
          <cx:tx>
            <cx:txData>
              <cx:v>Day Type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Day Type</a:t>
              </a:r>
            </a:p>
          </cx:txPr>
        </cx:title>
        <cx:tickLabels/>
      </cx:axis>
      <cx:axis id="1">
        <cx:valScaling/>
        <cx:title>
          <cx:tx>
            <cx:txData>
              <cx:v>Episodes watched per session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Episodes watched per session</a:t>
              </a:r>
            </a:p>
          </cx:txPr>
        </cx:title>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data id="1">
      <cx:numDim type="val">
        <cx:f>_xlchart.v1.13</cx:f>
      </cx:numDim>
    </cx:data>
    <cx:data id="2">
      <cx:numDim type="val">
        <cx:f>_xlchart.v1.15</cx:f>
      </cx:numDim>
    </cx:data>
    <cx:data id="3">
      <cx:numDim type="val">
        <cx:f>_xlchart.v1.17</cx:f>
      </cx:numDim>
    </cx:data>
  </cx:chartData>
  <cx:chart>
    <cx:plotArea>
      <cx:plotAreaRegion>
        <cx:series layoutId="boxWhisker" uniqueId="{EE5E6A93-11A9-435B-A8D9-81AA6C88B273}">
          <cx:tx>
            <cx:txData>
              <cx:f>_xlchart.v1.10</cx:f>
              <cx:v>18-25</cx:v>
            </cx:txData>
          </cx:tx>
          <cx:dataId val="0"/>
          <cx:layoutPr>
            <cx:visibility meanLine="0" meanMarker="1" nonoutliers="0" outliers="1"/>
            <cx:statistics quartileMethod="exclusive"/>
          </cx:layoutPr>
        </cx:series>
        <cx:series layoutId="boxWhisker" uniqueId="{BE6CBA1E-345F-43F2-8F7E-3C83BD30312C}">
          <cx:tx>
            <cx:txData>
              <cx:f>_xlchart.v1.12</cx:f>
              <cx:v>26-35</cx:v>
            </cx:txData>
          </cx:tx>
          <cx:dataId val="1"/>
          <cx:layoutPr>
            <cx:visibility meanLine="0" meanMarker="1" nonoutliers="0" outliers="1"/>
            <cx:statistics quartileMethod="exclusive"/>
          </cx:layoutPr>
        </cx:series>
        <cx:series layoutId="boxWhisker" uniqueId="{5940E253-1A8C-46DD-9F93-4F48BF392963}">
          <cx:tx>
            <cx:txData>
              <cx:f>_xlchart.v1.14</cx:f>
              <cx:v>36-45</cx:v>
            </cx:txData>
          </cx:tx>
          <cx:dataId val="2"/>
          <cx:layoutPr>
            <cx:visibility meanLine="0" meanMarker="1" nonoutliers="0" outliers="1"/>
            <cx:statistics quartileMethod="exclusive"/>
          </cx:layoutPr>
        </cx:series>
        <cx:series layoutId="boxWhisker" uniqueId="{7B52D367-59EA-44D4-9CF3-91A7D091B3AA}">
          <cx:tx>
            <cx:txData>
              <cx:f>_xlchart.v1.16</cx:f>
              <cx:v>45+</cx:v>
            </cx:txData>
          </cx:tx>
          <cx:dataId val="3"/>
          <cx:layoutPr>
            <cx:visibility meanLine="0" meanMarker="1" nonoutliers="0" outliers="1"/>
            <cx:statistics quartileMethod="exclusive"/>
          </cx:layoutPr>
        </cx:series>
      </cx:plotAreaRegion>
      <cx:axis id="0">
        <cx:catScaling gapWidth="1"/>
        <cx:title>
          <cx:tx>
            <cx:txData>
              <cx:v>Age Category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Age Category</a:t>
              </a:r>
            </a:p>
          </cx:txPr>
        </cx:title>
        <cx:tickLabels/>
      </cx:axis>
      <cx:axis id="1">
        <cx:valScaling/>
        <cx:title>
          <cx:tx>
            <cx:txData>
              <cx:v>Series Rating</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Series Rating</a:t>
              </a:r>
            </a:p>
          </cx:txPr>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160020</xdr:colOff>
      <xdr:row>0</xdr:row>
      <xdr:rowOff>34290</xdr:rowOff>
    </xdr:from>
    <xdr:to>
      <xdr:col>13</xdr:col>
      <xdr:colOff>320040</xdr:colOff>
      <xdr:row>25</xdr:row>
      <xdr:rowOff>167640</xdr:rowOff>
    </xdr:to>
    <xdr:graphicFrame macro="">
      <xdr:nvGraphicFramePr>
        <xdr:cNvPr id="2" name="Chart 1">
          <a:extLst>
            <a:ext uri="{FF2B5EF4-FFF2-40B4-BE49-F238E27FC236}">
              <a16:creationId xmlns:a16="http://schemas.microsoft.com/office/drawing/2014/main" id="{AAEEDAB4-1C34-846E-5A25-EAD9E17DA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868680</xdr:colOff>
      <xdr:row>0</xdr:row>
      <xdr:rowOff>34290</xdr:rowOff>
    </xdr:from>
    <xdr:to>
      <xdr:col>25</xdr:col>
      <xdr:colOff>220980</xdr:colOff>
      <xdr:row>22</xdr:row>
      <xdr:rowOff>45720</xdr:rowOff>
    </xdr:to>
    <xdr:graphicFrame macro="">
      <xdr:nvGraphicFramePr>
        <xdr:cNvPr id="3" name="Chart 2">
          <a:extLst>
            <a:ext uri="{FF2B5EF4-FFF2-40B4-BE49-F238E27FC236}">
              <a16:creationId xmlns:a16="http://schemas.microsoft.com/office/drawing/2014/main" id="{2C09ECF5-54FE-A094-3FD6-8E434ED97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281940</xdr:colOff>
      <xdr:row>32</xdr:row>
      <xdr:rowOff>11430</xdr:rowOff>
    </xdr:from>
    <xdr:to>
      <xdr:col>21</xdr:col>
      <xdr:colOff>1226820</xdr:colOff>
      <xdr:row>54</xdr:row>
      <xdr:rowOff>129540</xdr:rowOff>
    </xdr:to>
    <xdr:graphicFrame macro="">
      <xdr:nvGraphicFramePr>
        <xdr:cNvPr id="6" name="Chart 5">
          <a:extLst>
            <a:ext uri="{FF2B5EF4-FFF2-40B4-BE49-F238E27FC236}">
              <a16:creationId xmlns:a16="http://schemas.microsoft.com/office/drawing/2014/main" id="{24DD2F5C-4164-4221-41CE-204D47815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0.02092</cdr:x>
      <cdr:y>0.07692</cdr:y>
    </cdr:from>
    <cdr:to>
      <cdr:x>0.98406</cdr:x>
      <cdr:y>0.20324</cdr:y>
    </cdr:to>
    <cdr:sp macro="" textlink="">
      <cdr:nvSpPr>
        <cdr:cNvPr id="2" name="Rectangle 1">
          <a:extLst xmlns:a="http://schemas.openxmlformats.org/drawingml/2006/main">
            <a:ext uri="{FF2B5EF4-FFF2-40B4-BE49-F238E27FC236}">
              <a16:creationId xmlns:a16="http://schemas.microsoft.com/office/drawing/2014/main" id="{A5A69395-0241-35A0-6D6B-CA867086EE1E}"/>
            </a:ext>
          </a:extLst>
        </cdr:cNvPr>
        <cdr:cNvSpPr/>
      </cdr:nvSpPr>
      <cdr:spPr>
        <a:xfrm xmlns:a="http://schemas.openxmlformats.org/drawingml/2006/main">
          <a:off x="160020" y="361950"/>
          <a:ext cx="7368540" cy="5943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bg1"/>
              </a:solidFill>
            </a:rPr>
            <a:t>The chart displays the popularity of different TV series based on the number of viewers. Stranger Things has the highest number of viewers, making it the most popular series in the dataset, followed by The Mandalorian and Narcos.</a:t>
          </a:r>
        </a:p>
      </cdr:txBody>
    </cdr:sp>
  </cdr:relSizeAnchor>
</c:userShapes>
</file>

<file path=xl/drawings/drawing3.xml><?xml version="1.0" encoding="utf-8"?>
<c:userShapes xmlns:c="http://schemas.openxmlformats.org/drawingml/2006/chart">
  <cdr:relSizeAnchor xmlns:cdr="http://schemas.openxmlformats.org/drawingml/2006/chartDrawing">
    <cdr:from>
      <cdr:x>0.01532</cdr:x>
      <cdr:y>0.07838</cdr:y>
    </cdr:from>
    <cdr:to>
      <cdr:x>0.98468</cdr:x>
      <cdr:y>0.21624</cdr:y>
    </cdr:to>
    <cdr:sp macro="" textlink="">
      <cdr:nvSpPr>
        <cdr:cNvPr id="2" name="Rectangle 1">
          <a:extLst xmlns:a="http://schemas.openxmlformats.org/drawingml/2006/main">
            <a:ext uri="{FF2B5EF4-FFF2-40B4-BE49-F238E27FC236}">
              <a16:creationId xmlns:a16="http://schemas.microsoft.com/office/drawing/2014/main" id="{8CDC33B9-2925-C39E-80DA-43863B7528B0}"/>
            </a:ext>
          </a:extLst>
        </cdr:cNvPr>
        <cdr:cNvSpPr/>
      </cdr:nvSpPr>
      <cdr:spPr>
        <a:xfrm xmlns:a="http://schemas.openxmlformats.org/drawingml/2006/main">
          <a:off x="83820" y="316230"/>
          <a:ext cx="5303520" cy="5562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900" kern="1200">
              <a:solidFill>
                <a:schemeClr val="bg1"/>
              </a:solidFill>
            </a:rPr>
            <a:t>The chart illustrates the distribution of viewers across different TV series genres. Sci-Fi emerges as the most popular genre, attracting the highest number of viewers, followed by Comedy and Crime/Drama.</a:t>
          </a:r>
        </a:p>
      </cdr:txBody>
    </cdr:sp>
  </cdr:relSizeAnchor>
</c:userShapes>
</file>

<file path=xl/drawings/drawing4.xml><?xml version="1.0" encoding="utf-8"?>
<c:userShapes xmlns:c="http://schemas.openxmlformats.org/drawingml/2006/chart">
  <cdr:relSizeAnchor xmlns:cdr="http://schemas.openxmlformats.org/drawingml/2006/chartDrawing">
    <cdr:from>
      <cdr:x>0.01911</cdr:x>
      <cdr:y>0.01748</cdr:y>
    </cdr:from>
    <cdr:to>
      <cdr:x>0.9758</cdr:x>
      <cdr:y>0.17203</cdr:y>
    </cdr:to>
    <cdr:sp macro="" textlink="">
      <cdr:nvSpPr>
        <cdr:cNvPr id="2" name="Rectangle 1">
          <a:extLst xmlns:a="http://schemas.openxmlformats.org/drawingml/2006/main">
            <a:ext uri="{FF2B5EF4-FFF2-40B4-BE49-F238E27FC236}">
              <a16:creationId xmlns:a16="http://schemas.microsoft.com/office/drawing/2014/main" id="{F29E9B37-7788-B2D3-239A-4732CAD37A8D}"/>
            </a:ext>
          </a:extLst>
        </cdr:cNvPr>
        <cdr:cNvSpPr/>
      </cdr:nvSpPr>
      <cdr:spPr>
        <a:xfrm xmlns:a="http://schemas.openxmlformats.org/drawingml/2006/main">
          <a:off x="114300" y="72390"/>
          <a:ext cx="5722620" cy="64008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This indicates that most people prefer watching TV series occasionally or regularly rather than watching multiple episodes continuously in one session.</a:t>
          </a:r>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167640</xdr:colOff>
      <xdr:row>0</xdr:row>
      <xdr:rowOff>0</xdr:rowOff>
    </xdr:from>
    <xdr:to>
      <xdr:col>9</xdr:col>
      <xdr:colOff>266700</xdr:colOff>
      <xdr:row>18</xdr:row>
      <xdr:rowOff>99060</xdr:rowOff>
    </xdr:to>
    <xdr:graphicFrame macro="">
      <xdr:nvGraphicFramePr>
        <xdr:cNvPr id="2" name="Chart 1">
          <a:extLst>
            <a:ext uri="{FF2B5EF4-FFF2-40B4-BE49-F238E27FC236}">
              <a16:creationId xmlns:a16="http://schemas.microsoft.com/office/drawing/2014/main" id="{1CE6662A-4118-43E8-2804-A0DAD0F6E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144780</xdr:colOff>
      <xdr:row>0</xdr:row>
      <xdr:rowOff>45720</xdr:rowOff>
    </xdr:from>
    <xdr:to>
      <xdr:col>21</xdr:col>
      <xdr:colOff>167640</xdr:colOff>
      <xdr:row>18</xdr:row>
      <xdr:rowOff>167640</xdr:rowOff>
    </xdr:to>
    <xdr:graphicFrame macro="">
      <xdr:nvGraphicFramePr>
        <xdr:cNvPr id="4" name="Chart 3">
          <a:extLst>
            <a:ext uri="{FF2B5EF4-FFF2-40B4-BE49-F238E27FC236}">
              <a16:creationId xmlns:a16="http://schemas.microsoft.com/office/drawing/2014/main" id="{D7BB225F-1548-6A73-6B64-43A40F52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0.03141</cdr:x>
      <cdr:y>0.07088</cdr:y>
    </cdr:from>
    <cdr:to>
      <cdr:x>0.99302</cdr:x>
      <cdr:y>0.24045</cdr:y>
    </cdr:to>
    <cdr:sp macro="" textlink="">
      <cdr:nvSpPr>
        <cdr:cNvPr id="2" name="Rectangle 1">
          <a:extLst xmlns:a="http://schemas.openxmlformats.org/drawingml/2006/main">
            <a:ext uri="{FF2B5EF4-FFF2-40B4-BE49-F238E27FC236}">
              <a16:creationId xmlns:a16="http://schemas.microsoft.com/office/drawing/2014/main" id="{8CB2AE90-863D-B030-878C-4A180E604173}"/>
            </a:ext>
          </a:extLst>
        </cdr:cNvPr>
        <cdr:cNvSpPr/>
      </cdr:nvSpPr>
      <cdr:spPr>
        <a:xfrm xmlns:a="http://schemas.openxmlformats.org/drawingml/2006/main">
          <a:off x="137160" y="240362"/>
          <a:ext cx="4198620" cy="57497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000" b="0" kern="1200">
              <a:solidFill>
                <a:schemeClr val="tx1"/>
              </a:solidFill>
            </a:rPr>
            <a:t>The chart presents viewers’ preferred time for watching TV series.This pattern suggests that viewers are more likely to watch TV series during the night when they are free from daily activities such as work or studies. </a:t>
          </a:r>
        </a:p>
      </cdr:txBody>
    </cdr:sp>
  </cdr:relSizeAnchor>
</c:userShapes>
</file>

<file path=xl/drawings/drawing7.xml><?xml version="1.0" encoding="utf-8"?>
<c:userShapes xmlns:c="http://schemas.openxmlformats.org/drawingml/2006/chart">
  <cdr:relSizeAnchor xmlns:cdr="http://schemas.openxmlformats.org/drawingml/2006/chartDrawing">
    <cdr:from>
      <cdr:x>0.05671</cdr:x>
      <cdr:y>0.02382</cdr:y>
    </cdr:from>
    <cdr:to>
      <cdr:x>1</cdr:x>
      <cdr:y>1</cdr:y>
    </cdr:to>
    <cdr:sp macro="" textlink="">
      <cdr:nvSpPr>
        <cdr:cNvPr id="2" name="Rectangle 1">
          <a:extLst xmlns:a="http://schemas.openxmlformats.org/drawingml/2006/main">
            <a:ext uri="{FF2B5EF4-FFF2-40B4-BE49-F238E27FC236}">
              <a16:creationId xmlns:a16="http://schemas.microsoft.com/office/drawing/2014/main" id="{586699B2-4514-E762-4604-98D41E321E30}"/>
            </a:ext>
          </a:extLst>
        </cdr:cNvPr>
        <cdr:cNvSpPr/>
      </cdr:nvSpPr>
      <cdr:spPr>
        <a:xfrm xmlns:a="http://schemas.openxmlformats.org/drawingml/2006/main">
          <a:off x="312420" y="79787"/>
          <a:ext cx="5196840" cy="326942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000" kern="1200">
              <a:solidFill>
                <a:schemeClr val="tx1"/>
              </a:solidFill>
            </a:rPr>
            <a:t>The chart presents the average ratings of TV series across different genres. Fantasy has the highest average rating,followed</a:t>
          </a:r>
          <a:r>
            <a:rPr lang="en-IN" sz="1000" kern="1200" baseline="0">
              <a:solidFill>
                <a:schemeClr val="tx1"/>
              </a:solidFill>
            </a:rPr>
            <a:t> by Sci-Fi.</a:t>
          </a:r>
          <a:r>
            <a:rPr lang="en-IN" sz="1000" kern="1200">
              <a:solidFill>
                <a:schemeClr val="tx1"/>
              </a:solidFill>
            </a:rPr>
            <a:t>This results suggest that viewers tend to prefer fantasy and science-fiction based content in terms of overall ratings.</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16</xdr:row>
      <xdr:rowOff>125730</xdr:rowOff>
    </xdr:from>
    <xdr:to>
      <xdr:col>3</xdr:col>
      <xdr:colOff>579120</xdr:colOff>
      <xdr:row>27</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BD6A751-AE68-6FF2-889C-A23CEDF7C8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051810"/>
              <a:ext cx="2918460" cy="19164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190500</xdr:colOff>
      <xdr:row>27</xdr:row>
      <xdr:rowOff>129540</xdr:rowOff>
    </xdr:from>
    <xdr:to>
      <xdr:col>4</xdr:col>
      <xdr:colOff>541020</xdr:colOff>
      <xdr:row>43</xdr:row>
      <xdr:rowOff>53788</xdr:rowOff>
    </xdr:to>
    <xdr:sp macro="" textlink="">
      <xdr:nvSpPr>
        <xdr:cNvPr id="3" name="Rectangle 2">
          <a:extLst>
            <a:ext uri="{FF2B5EF4-FFF2-40B4-BE49-F238E27FC236}">
              <a16:creationId xmlns:a16="http://schemas.microsoft.com/office/drawing/2014/main" id="{8C63E353-CA6D-321F-C533-3BC89A117D04}"/>
            </a:ext>
          </a:extLst>
        </xdr:cNvPr>
        <xdr:cNvSpPr/>
      </xdr:nvSpPr>
      <xdr:spPr>
        <a:xfrm>
          <a:off x="190500" y="4970481"/>
          <a:ext cx="3299908" cy="279295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Key Findings - </a:t>
          </a:r>
        </a:p>
        <a:p>
          <a:pPr algn="l"/>
          <a:r>
            <a:rPr lang="en-IN" sz="1200">
              <a:solidFill>
                <a:schemeClr val="tx1"/>
              </a:solidFill>
            </a:rPr>
            <a:t>Morning, afternoon, and night viewing patterns are fairly consistent, showing close distributions of hours watched.</a:t>
          </a:r>
        </a:p>
        <a:p>
          <a:pPr algn="l"/>
          <a:r>
            <a:rPr lang="en-IN" sz="1200">
              <a:solidFill>
                <a:schemeClr val="tx1"/>
              </a:solidFill>
            </a:rPr>
            <a:t>The spread of viewing hours is almost the same across all three time periods, indicating consistent watching behavior.</a:t>
          </a:r>
        </a:p>
        <a:p>
          <a:pPr algn="l"/>
          <a:r>
            <a:rPr lang="en-IN" sz="1200">
              <a:solidFill>
                <a:schemeClr val="tx1"/>
              </a:solidFill>
            </a:rPr>
            <a:t>Most viewers watch within a similar range of hours, with no extreme outliers visible in the chart.</a:t>
          </a:r>
        </a:p>
        <a:p>
          <a:pPr algn="l"/>
          <a:r>
            <a:rPr lang="en-IN" sz="1200">
              <a:solidFill>
                <a:schemeClr val="tx1"/>
              </a:solidFill>
            </a:rPr>
            <a:t>Overall, the viewing behavior across morning, afternoon, and night remains balanced with only minor variations.</a:t>
          </a:r>
        </a:p>
      </xdr:txBody>
    </xdr:sp>
    <xdr:clientData/>
  </xdr:twoCellAnchor>
  <xdr:twoCellAnchor>
    <xdr:from>
      <xdr:col>9</xdr:col>
      <xdr:colOff>94129</xdr:colOff>
      <xdr:row>15</xdr:row>
      <xdr:rowOff>126626</xdr:rowOff>
    </xdr:from>
    <xdr:to>
      <xdr:col>12</xdr:col>
      <xdr:colOff>345589</xdr:colOff>
      <xdr:row>27</xdr:row>
      <xdr:rowOff>16136</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6FCC909-FB16-D70D-9BBC-05B72609A8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91069" y="2869826"/>
              <a:ext cx="3307080" cy="20840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71719</xdr:colOff>
      <xdr:row>28</xdr:row>
      <xdr:rowOff>8965</xdr:rowOff>
    </xdr:from>
    <xdr:to>
      <xdr:col>12</xdr:col>
      <xdr:colOff>446316</xdr:colOff>
      <xdr:row>43</xdr:row>
      <xdr:rowOff>89647</xdr:rowOff>
    </xdr:to>
    <xdr:sp macro="" textlink="">
      <xdr:nvSpPr>
        <xdr:cNvPr id="5" name="Rectangle 4">
          <a:extLst>
            <a:ext uri="{FF2B5EF4-FFF2-40B4-BE49-F238E27FC236}">
              <a16:creationId xmlns:a16="http://schemas.microsoft.com/office/drawing/2014/main" id="{7AA12D81-1B7B-C67D-C0D8-6BCE7912B753}"/>
            </a:ext>
          </a:extLst>
        </xdr:cNvPr>
        <xdr:cNvSpPr/>
      </xdr:nvSpPr>
      <xdr:spPr>
        <a:xfrm>
          <a:off x="6069107" y="5029200"/>
          <a:ext cx="3431562" cy="27700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Key Findings</a:t>
          </a:r>
          <a:r>
            <a:rPr lang="en-IN" sz="1400" b="1" baseline="0">
              <a:solidFill>
                <a:schemeClr val="tx1"/>
              </a:solidFill>
            </a:rPr>
            <a:t> - </a:t>
          </a:r>
          <a:endParaRPr lang="en-IN" sz="1400" b="1">
            <a:solidFill>
              <a:schemeClr val="tx1"/>
            </a:solidFill>
          </a:endParaRPr>
        </a:p>
        <a:p>
          <a:pPr algn="l"/>
          <a:r>
            <a:rPr lang="en-IN" sz="1200">
              <a:solidFill>
                <a:schemeClr val="tx1"/>
              </a:solidFill>
            </a:rPr>
            <a:t> The number of episodes watched per session is nearly the same on weekdays and weekends, indicating similar viewing habits.</a:t>
          </a:r>
        </a:p>
        <a:p>
          <a:pPr algn="l"/>
          <a:r>
            <a:rPr lang="en-IN" sz="1200">
              <a:solidFill>
                <a:schemeClr val="tx1"/>
              </a:solidFill>
            </a:rPr>
            <a:t>The central viewing value is around three episodes for both day types, showing a common watching pattern.</a:t>
          </a:r>
        </a:p>
        <a:p>
          <a:pPr algn="l"/>
          <a:r>
            <a:rPr lang="en-IN" sz="1200">
              <a:solidFill>
                <a:schemeClr val="tx1"/>
              </a:solidFill>
            </a:rPr>
            <a:t>Weekday viewing shows slightly more variation, while weekend viewing appears a bit more consistent.</a:t>
          </a:r>
        </a:p>
        <a:p>
          <a:pPr algn="l"/>
          <a:r>
            <a:rPr lang="en-IN" sz="1200">
              <a:solidFill>
                <a:schemeClr val="tx1"/>
              </a:solidFill>
            </a:rPr>
            <a:t>Both distributions show mild positive skewness, meaning a few sessions have higher episode counts than usual.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133350</xdr:rowOff>
    </xdr:from>
    <xdr:to>
      <xdr:col>4</xdr:col>
      <xdr:colOff>510540</xdr:colOff>
      <xdr:row>22</xdr:row>
      <xdr:rowOff>60960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C2FE60A-C72A-09B6-084F-C6621FAE08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413510"/>
              <a:ext cx="3528060" cy="2670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7620</xdr:colOff>
      <xdr:row>3</xdr:row>
      <xdr:rowOff>76200</xdr:rowOff>
    </xdr:from>
    <xdr:to>
      <xdr:col>18</xdr:col>
      <xdr:colOff>45720</xdr:colOff>
      <xdr:row>15</xdr:row>
      <xdr:rowOff>129540</xdr:rowOff>
    </xdr:to>
    <xdr:sp macro="" textlink="">
      <xdr:nvSpPr>
        <xdr:cNvPr id="6" name="Rectangle 5">
          <a:extLst>
            <a:ext uri="{FF2B5EF4-FFF2-40B4-BE49-F238E27FC236}">
              <a16:creationId xmlns:a16="http://schemas.microsoft.com/office/drawing/2014/main" id="{BB30CA3B-3754-5078-E26E-70031D1C6261}"/>
            </a:ext>
          </a:extLst>
        </xdr:cNvPr>
        <xdr:cNvSpPr/>
      </xdr:nvSpPr>
      <xdr:spPr>
        <a:xfrm>
          <a:off x="7353300" y="624840"/>
          <a:ext cx="4297680" cy="2247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Key Observations</a:t>
          </a:r>
          <a:r>
            <a:rPr lang="en-IN" sz="1400" b="1" baseline="0">
              <a:solidFill>
                <a:schemeClr val="tx1"/>
              </a:solidFill>
            </a:rPr>
            <a:t> - </a:t>
          </a:r>
        </a:p>
        <a:p>
          <a:pPr algn="l"/>
          <a:r>
            <a:rPr lang="en-IN" sz="1200">
              <a:solidFill>
                <a:schemeClr val="tx1"/>
              </a:solidFill>
            </a:rPr>
            <a:t>The 26–35 age group shows the highest variability, indicating their ratings vary more compared to other age groups.</a:t>
          </a:r>
        </a:p>
        <a:p>
          <a:pPr algn="l"/>
          <a:r>
            <a:rPr lang="en-IN" sz="1200">
              <a:solidFill>
                <a:schemeClr val="tx1"/>
              </a:solidFill>
            </a:rPr>
            <a:t>The 36–45 age group has the lowest variation, suggesting their ratings are more consistent.</a:t>
          </a:r>
        </a:p>
        <a:p>
          <a:pPr algn="l"/>
          <a:r>
            <a:rPr lang="en-IN" sz="1200">
              <a:solidFill>
                <a:schemeClr val="tx1"/>
              </a:solidFill>
            </a:rPr>
            <a:t>The 18–25 and 45+ groups show moderate spread, meaning their ratings vary but remain within a similar range.</a:t>
          </a:r>
        </a:p>
        <a:p>
          <a:pPr algn="l"/>
          <a:r>
            <a:rPr lang="en-IN" sz="1200">
              <a:solidFill>
                <a:schemeClr val="tx1"/>
              </a:solidFill>
            </a:rPr>
            <a:t>Overall, the variability across age groups is relatively similar, indicating that viewers across different ages rate TV series within a fairly close range.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251460</xdr:colOff>
      <xdr:row>6</xdr:row>
      <xdr:rowOff>80010</xdr:rowOff>
    </xdr:from>
    <xdr:to>
      <xdr:col>3</xdr:col>
      <xdr:colOff>1801906</xdr:colOff>
      <xdr:row>21</xdr:row>
      <xdr:rowOff>125506</xdr:rowOff>
    </xdr:to>
    <xdr:graphicFrame macro="">
      <xdr:nvGraphicFramePr>
        <xdr:cNvPr id="2" name="Chart 1">
          <a:extLst>
            <a:ext uri="{FF2B5EF4-FFF2-40B4-BE49-F238E27FC236}">
              <a16:creationId xmlns:a16="http://schemas.microsoft.com/office/drawing/2014/main" id="{9AA3DF7C-036E-8532-AEAA-AC9D43D59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250371</xdr:colOff>
      <xdr:row>5</xdr:row>
      <xdr:rowOff>120383</xdr:rowOff>
    </xdr:from>
    <xdr:to>
      <xdr:col>14</xdr:col>
      <xdr:colOff>555171</xdr:colOff>
      <xdr:row>20</xdr:row>
      <xdr:rowOff>87726</xdr:rowOff>
    </xdr:to>
    <xdr:graphicFrame macro="">
      <xdr:nvGraphicFramePr>
        <xdr:cNvPr id="3" name="Chart 2">
          <a:extLst>
            <a:ext uri="{FF2B5EF4-FFF2-40B4-BE49-F238E27FC236}">
              <a16:creationId xmlns:a16="http://schemas.microsoft.com/office/drawing/2014/main" id="{4798D46C-F3A8-35AF-74D2-AF8531EAC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138954</xdr:colOff>
      <xdr:row>23</xdr:row>
      <xdr:rowOff>62753</xdr:rowOff>
    </xdr:from>
    <xdr:to>
      <xdr:col>4</xdr:col>
      <xdr:colOff>389965</xdr:colOff>
      <xdr:row>38</xdr:row>
      <xdr:rowOff>116542</xdr:rowOff>
    </xdr:to>
    <xdr:graphicFrame macro="">
      <xdr:nvGraphicFramePr>
        <xdr:cNvPr id="5" name="Chart 4">
          <a:extLst>
            <a:ext uri="{FF2B5EF4-FFF2-40B4-BE49-F238E27FC236}">
              <a16:creationId xmlns:a16="http://schemas.microsoft.com/office/drawing/2014/main" id="{DBA19274-7537-56E5-7E0A-74702243E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174812</xdr:colOff>
      <xdr:row>22</xdr:row>
      <xdr:rowOff>125505</xdr:rowOff>
    </xdr:from>
    <xdr:to>
      <xdr:col>14</xdr:col>
      <xdr:colOff>479612</xdr:colOff>
      <xdr:row>38</xdr:row>
      <xdr:rowOff>0</xdr:rowOff>
    </xdr:to>
    <xdr:graphicFrame macro="">
      <xdr:nvGraphicFramePr>
        <xdr:cNvPr id="6" name="Chart 5">
          <a:extLst>
            <a:ext uri="{FF2B5EF4-FFF2-40B4-BE49-F238E27FC236}">
              <a16:creationId xmlns:a16="http://schemas.microsoft.com/office/drawing/2014/main" id="{19385B05-2919-C968-2D77-A3BE1A738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0.03518</cdr:x>
      <cdr:y>0.01336</cdr:y>
    </cdr:from>
    <cdr:to>
      <cdr:x>0.98117</cdr:x>
      <cdr:y>0.19036</cdr:y>
    </cdr:to>
    <cdr:sp macro="" textlink="">
      <cdr:nvSpPr>
        <cdr:cNvPr id="2" name="Rectangle 1">
          <a:extLst xmlns:a="http://schemas.openxmlformats.org/drawingml/2006/main">
            <a:ext uri="{FF2B5EF4-FFF2-40B4-BE49-F238E27FC236}">
              <a16:creationId xmlns:a16="http://schemas.microsoft.com/office/drawing/2014/main" id="{48B200EF-23B3-F4BC-3CAE-FB2C769D3ED1}"/>
            </a:ext>
          </a:extLst>
        </cdr:cNvPr>
        <cdr:cNvSpPr/>
      </cdr:nvSpPr>
      <cdr:spPr>
        <a:xfrm xmlns:a="http://schemas.openxmlformats.org/drawingml/2006/main">
          <a:off x="134023" y="36531"/>
          <a:ext cx="3603812" cy="48409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bg1"/>
              </a:solidFill>
            </a:rPr>
            <a:t>Most viewers belong to the 18–25 age category, indicating that younger audiences dominate TV series consumption.</a:t>
          </a:r>
        </a:p>
      </cdr:txBody>
    </cdr:sp>
  </cdr:relSizeAnchor>
</c:userShapes>
</file>

<file path=xl/drawings/drawing12.xml><?xml version="1.0" encoding="utf-8"?>
<c:userShapes xmlns:c="http://schemas.openxmlformats.org/drawingml/2006/chart">
  <cdr:relSizeAnchor xmlns:cdr="http://schemas.openxmlformats.org/drawingml/2006/chartDrawing">
    <cdr:from>
      <cdr:x>0.03151</cdr:x>
      <cdr:y>0.0323</cdr:y>
    </cdr:from>
    <cdr:to>
      <cdr:x>0.96485</cdr:x>
      <cdr:y>0.22126</cdr:y>
    </cdr:to>
    <cdr:sp macro="" textlink="">
      <cdr:nvSpPr>
        <cdr:cNvPr id="2" name="Rectangle 1">
          <a:extLst xmlns:a="http://schemas.openxmlformats.org/drawingml/2006/main">
            <a:ext uri="{FF2B5EF4-FFF2-40B4-BE49-F238E27FC236}">
              <a16:creationId xmlns:a16="http://schemas.microsoft.com/office/drawing/2014/main" id="{47938566-1233-B211-2619-99F610B6BB5D}"/>
            </a:ext>
          </a:extLst>
        </cdr:cNvPr>
        <cdr:cNvSpPr/>
      </cdr:nvSpPr>
      <cdr:spPr>
        <a:xfrm xmlns:a="http://schemas.openxmlformats.org/drawingml/2006/main">
          <a:off x="144076" y="85805"/>
          <a:ext cx="4267200" cy="502023"/>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tx1"/>
              </a:solidFill>
            </a:rPr>
            <a:t>Viewer engagement is fairly balanced, with low engagement slightly higher</a:t>
          </a:r>
        </a:p>
      </cdr:txBody>
    </cdr:sp>
  </cdr:relSizeAnchor>
</c:userShapes>
</file>

<file path=xl/drawings/drawing13.xml><?xml version="1.0" encoding="utf-8"?>
<c:userShapes xmlns:c="http://schemas.openxmlformats.org/drawingml/2006/chart">
  <cdr:relSizeAnchor xmlns:cdr="http://schemas.openxmlformats.org/drawingml/2006/chartDrawing">
    <cdr:from>
      <cdr:x>0.02843</cdr:x>
      <cdr:y>0.0098</cdr:y>
    </cdr:from>
    <cdr:to>
      <cdr:x>0.98137</cdr:x>
      <cdr:y>0.20588</cdr:y>
    </cdr:to>
    <cdr:sp macro="" textlink="">
      <cdr:nvSpPr>
        <cdr:cNvPr id="2" name="Rectangle 1">
          <a:extLst xmlns:a="http://schemas.openxmlformats.org/drawingml/2006/main">
            <a:ext uri="{FF2B5EF4-FFF2-40B4-BE49-F238E27FC236}">
              <a16:creationId xmlns:a16="http://schemas.microsoft.com/office/drawing/2014/main" id="{ED3091BE-5FAC-F947-D6E7-C391E98A8812}"/>
            </a:ext>
          </a:extLst>
        </cdr:cNvPr>
        <cdr:cNvSpPr/>
      </cdr:nvSpPr>
      <cdr:spPr>
        <a:xfrm xmlns:a="http://schemas.openxmlformats.org/drawingml/2006/main">
          <a:off x="129988" y="26894"/>
          <a:ext cx="4356847" cy="5378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bg1"/>
              </a:solidFill>
            </a:rPr>
            <a:t>Male viewers slightly higher (54%) than female viewers (46%), indicating that TV series consumption is popular among both genders.</a:t>
          </a:r>
        </a:p>
      </cdr:txBody>
    </cdr:sp>
  </cdr:relSizeAnchor>
</c:userShapes>
</file>

<file path=xl/drawings/drawing14.xml><?xml version="1.0" encoding="utf-8"?>
<c:userShapes xmlns:c="http://schemas.openxmlformats.org/drawingml/2006/chart">
  <cdr:relSizeAnchor xmlns:cdr="http://schemas.openxmlformats.org/drawingml/2006/chartDrawing">
    <cdr:from>
      <cdr:x>0.02059</cdr:x>
      <cdr:y>0.02288</cdr:y>
    </cdr:from>
    <cdr:to>
      <cdr:x>0.97353</cdr:x>
      <cdr:y>0.20261</cdr:y>
    </cdr:to>
    <cdr:sp macro="" textlink="">
      <cdr:nvSpPr>
        <cdr:cNvPr id="2" name="Rectangle 1">
          <a:extLst xmlns:a="http://schemas.openxmlformats.org/drawingml/2006/main">
            <a:ext uri="{FF2B5EF4-FFF2-40B4-BE49-F238E27FC236}">
              <a16:creationId xmlns:a16="http://schemas.microsoft.com/office/drawing/2014/main" id="{49A04F6F-8E76-95EE-75A2-BD603187AA57}"/>
            </a:ext>
          </a:extLst>
        </cdr:cNvPr>
        <cdr:cNvSpPr/>
      </cdr:nvSpPr>
      <cdr:spPr>
        <a:xfrm xmlns:a="http://schemas.openxmlformats.org/drawingml/2006/main">
          <a:off x="94130" y="62753"/>
          <a:ext cx="4356847" cy="493059"/>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tx1"/>
              </a:solidFill>
            </a:rPr>
            <a:t>Most viewers prefer watching TV series at night</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4</xdr:row>
      <xdr:rowOff>96983</xdr:rowOff>
    </xdr:from>
    <xdr:to>
      <xdr:col>9</xdr:col>
      <xdr:colOff>576942</xdr:colOff>
      <xdr:row>24</xdr:row>
      <xdr:rowOff>107868</xdr:rowOff>
    </xdr:to>
    <xdr:graphicFrame macro="">
      <xdr:nvGraphicFramePr>
        <xdr:cNvPr id="2" name="Chart 1">
          <a:extLst>
            <a:ext uri="{FF2B5EF4-FFF2-40B4-BE49-F238E27FC236}">
              <a16:creationId xmlns:a16="http://schemas.microsoft.com/office/drawing/2014/main" id="{6DA1C1F8-EBC7-40D9-86EE-FE9E5A75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7916</xdr:colOff>
      <xdr:row>4</xdr:row>
      <xdr:rowOff>66306</xdr:rowOff>
    </xdr:from>
    <xdr:to>
      <xdr:col>22</xdr:col>
      <xdr:colOff>7916</xdr:colOff>
      <xdr:row>24</xdr:row>
      <xdr:rowOff>77191</xdr:rowOff>
    </xdr:to>
    <xdr:graphicFrame macro="">
      <xdr:nvGraphicFramePr>
        <xdr:cNvPr id="3" name="Chart 2">
          <a:extLst>
            <a:ext uri="{FF2B5EF4-FFF2-40B4-BE49-F238E27FC236}">
              <a16:creationId xmlns:a16="http://schemas.microsoft.com/office/drawing/2014/main" id="{941B5CAF-B25B-48B2-80B2-564185650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21773</xdr:rowOff>
    </xdr:from>
    <xdr:to>
      <xdr:col>9</xdr:col>
      <xdr:colOff>544285</xdr:colOff>
      <xdr:row>47</xdr:row>
      <xdr:rowOff>1</xdr:rowOff>
    </xdr:to>
    <xdr:graphicFrame macro="">
      <xdr:nvGraphicFramePr>
        <xdr:cNvPr id="4" name="Chart 3">
          <a:extLst>
            <a:ext uri="{FF2B5EF4-FFF2-40B4-BE49-F238E27FC236}">
              <a16:creationId xmlns:a16="http://schemas.microsoft.com/office/drawing/2014/main" id="{5C1D4E1C-3FDD-44DC-A667-CB95DA627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609599</xdr:colOff>
      <xdr:row>26</xdr:row>
      <xdr:rowOff>10886</xdr:rowOff>
    </xdr:from>
    <xdr:to>
      <xdr:col>21</xdr:col>
      <xdr:colOff>587828</xdr:colOff>
      <xdr:row>47</xdr:row>
      <xdr:rowOff>0</xdr:rowOff>
    </xdr:to>
    <xdr:graphicFrame macro="">
      <xdr:nvGraphicFramePr>
        <xdr:cNvPr id="5" name="Chart 4">
          <a:extLst>
            <a:ext uri="{FF2B5EF4-FFF2-40B4-BE49-F238E27FC236}">
              <a16:creationId xmlns:a16="http://schemas.microsoft.com/office/drawing/2014/main" id="{C2D412AD-C177-4CED-8860-11B9C368C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595745</xdr:colOff>
      <xdr:row>27</xdr:row>
      <xdr:rowOff>138545</xdr:rowOff>
    </xdr:from>
    <xdr:to>
      <xdr:col>32</xdr:col>
      <xdr:colOff>152400</xdr:colOff>
      <xdr:row>43</xdr:row>
      <xdr:rowOff>138544</xdr:rowOff>
    </xdr:to>
    <xdr:sp macro="" textlink="">
      <xdr:nvSpPr>
        <xdr:cNvPr id="7" name="Rectangle: Rounded Corners 6">
          <a:extLst>
            <a:ext uri="{FF2B5EF4-FFF2-40B4-BE49-F238E27FC236}">
              <a16:creationId xmlns:a16="http://schemas.microsoft.com/office/drawing/2014/main" id="{1A73662B-5EFD-8D35-CC3B-43015C623AA0}"/>
            </a:ext>
          </a:extLst>
        </xdr:cNvPr>
        <xdr:cNvSpPr/>
      </xdr:nvSpPr>
      <xdr:spPr>
        <a:xfrm>
          <a:off x="15877309" y="5195454"/>
          <a:ext cx="5763491" cy="288174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Final Insights - </a:t>
          </a:r>
        </a:p>
        <a:p>
          <a:pPr algn="l"/>
          <a:r>
            <a:rPr lang="en-IN" sz="1600" b="1">
              <a:solidFill>
                <a:schemeClr val="tx1"/>
              </a:solidFill>
            </a:rPr>
            <a:t>The analysis shows that TV series consumption is dominated by the 18–25 age group, indicating strong interest among younger audiences. Sci-Fi emerges as the most popular genre, while Stranger Things is the most watched series in the dataset. Most viewers prefer watching TV series during the night, suggesting that viewing primarily happens after daily activities. </a:t>
          </a:r>
          <a:r>
            <a:rPr lang="en-IN" sz="1600" b="1">
              <a:solidFill>
                <a:schemeClr val="tx1"/>
              </a:solidFill>
              <a:effectLst/>
              <a:latin typeface="+mn-lt"/>
              <a:ea typeface="+mn-ea"/>
              <a:cs typeface="+mn-cs"/>
            </a:rPr>
            <a:t>Fantasy has the highest average rating,followed</a:t>
          </a:r>
          <a:r>
            <a:rPr lang="en-IN" sz="1600" b="1" baseline="0">
              <a:solidFill>
                <a:schemeClr val="tx1"/>
              </a:solidFill>
              <a:effectLst/>
              <a:latin typeface="+mn-lt"/>
              <a:ea typeface="+mn-ea"/>
              <a:cs typeface="+mn-cs"/>
            </a:rPr>
            <a:t> by Sci-Fi.</a:t>
          </a:r>
          <a:r>
            <a:rPr lang="en-IN" sz="1600" b="1">
              <a:solidFill>
                <a:schemeClr val="tx1"/>
              </a:solidFill>
              <a:effectLst/>
              <a:latin typeface="+mn-lt"/>
              <a:ea typeface="+mn-ea"/>
              <a:cs typeface="+mn-cs"/>
            </a:rPr>
            <a:t>This results suggest that viewers tend to prefer fantasy and science-fiction based content in terms of overall ratings.</a:t>
          </a:r>
          <a:endParaRPr lang="en-IN" sz="1600" b="1">
            <a:solidFill>
              <a:schemeClr val="tx1"/>
            </a:solidFill>
          </a:endParaRPr>
        </a:p>
      </xdr:txBody>
    </xdr:sp>
    <xdr:clientData/>
  </xdr:twoCellAnchor>
  <xdr:twoCellAnchor>
    <xdr:from>
      <xdr:col>22</xdr:col>
      <xdr:colOff>546846</xdr:colOff>
      <xdr:row>4</xdr:row>
      <xdr:rowOff>62752</xdr:rowOff>
    </xdr:from>
    <xdr:to>
      <xdr:col>31</xdr:col>
      <xdr:colOff>394445</xdr:colOff>
      <xdr:row>24</xdr:row>
      <xdr:rowOff>17929</xdr:rowOff>
    </xdr:to>
    <xdr:graphicFrame macro="">
      <xdr:nvGraphicFramePr>
        <xdr:cNvPr id="9" name="Chart 8">
          <a:extLst>
            <a:ext uri="{FF2B5EF4-FFF2-40B4-BE49-F238E27FC236}">
              <a16:creationId xmlns:a16="http://schemas.microsoft.com/office/drawing/2014/main" id="{7E564359-C659-4905-87E2-98BBF391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0.02092</cdr:x>
      <cdr:y>0.07692</cdr:y>
    </cdr:from>
    <cdr:to>
      <cdr:x>0.98406</cdr:x>
      <cdr:y>0.20324</cdr:y>
    </cdr:to>
    <cdr:sp macro="" textlink="">
      <cdr:nvSpPr>
        <cdr:cNvPr id="2" name="Rectangle 1">
          <a:extLst xmlns:a="http://schemas.openxmlformats.org/drawingml/2006/main">
            <a:ext uri="{FF2B5EF4-FFF2-40B4-BE49-F238E27FC236}">
              <a16:creationId xmlns:a16="http://schemas.microsoft.com/office/drawing/2014/main" id="{A5A69395-0241-35A0-6D6B-CA867086EE1E}"/>
            </a:ext>
          </a:extLst>
        </cdr:cNvPr>
        <cdr:cNvSpPr/>
      </cdr:nvSpPr>
      <cdr:spPr>
        <a:xfrm xmlns:a="http://schemas.openxmlformats.org/drawingml/2006/main">
          <a:off x="160020" y="361950"/>
          <a:ext cx="7368540" cy="5943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bg1"/>
              </a:solidFill>
            </a:rPr>
            <a:t>The chart displays the popularity of different TV series based on the number of viewers. Stranger Things has the highest number of viewers, making it the most popular series in the dataset, followed by The Mandalorian and Narcos.</a:t>
          </a:r>
        </a:p>
      </cdr:txBody>
    </cdr:sp>
  </cdr:relSizeAnchor>
</c:userShapes>
</file>

<file path=xl/drawings/drawing17.xml><?xml version="1.0" encoding="utf-8"?>
<c:userShapes xmlns:c="http://schemas.openxmlformats.org/drawingml/2006/chart">
  <cdr:relSizeAnchor xmlns:cdr="http://schemas.openxmlformats.org/drawingml/2006/chartDrawing">
    <cdr:from>
      <cdr:x>0.01532</cdr:x>
      <cdr:y>0.07838</cdr:y>
    </cdr:from>
    <cdr:to>
      <cdr:x>0.98468</cdr:x>
      <cdr:y>0.21624</cdr:y>
    </cdr:to>
    <cdr:sp macro="" textlink="">
      <cdr:nvSpPr>
        <cdr:cNvPr id="2" name="Rectangle 1">
          <a:extLst xmlns:a="http://schemas.openxmlformats.org/drawingml/2006/main">
            <a:ext uri="{FF2B5EF4-FFF2-40B4-BE49-F238E27FC236}">
              <a16:creationId xmlns:a16="http://schemas.microsoft.com/office/drawing/2014/main" id="{8CDC33B9-2925-C39E-80DA-43863B7528B0}"/>
            </a:ext>
          </a:extLst>
        </cdr:cNvPr>
        <cdr:cNvSpPr/>
      </cdr:nvSpPr>
      <cdr:spPr>
        <a:xfrm xmlns:a="http://schemas.openxmlformats.org/drawingml/2006/main">
          <a:off x="83820" y="316230"/>
          <a:ext cx="5303520" cy="5562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900" kern="1200">
              <a:solidFill>
                <a:schemeClr val="bg1"/>
              </a:solidFill>
            </a:rPr>
            <a:t>The chart illustrates the distribution of viewers across different TV series genres. Sci-Fi emerges as the most popular genre, attracting the highest number of viewers, followed by Comedy and Crime/Drama.</a:t>
          </a:r>
        </a:p>
      </cdr:txBody>
    </cdr:sp>
  </cdr:relSizeAnchor>
</c:userShapes>
</file>

<file path=xl/drawings/drawing18.xml><?xml version="1.0" encoding="utf-8"?>
<c:userShapes xmlns:c="http://schemas.openxmlformats.org/drawingml/2006/chart">
  <cdr:relSizeAnchor xmlns:cdr="http://schemas.openxmlformats.org/drawingml/2006/chartDrawing">
    <cdr:from>
      <cdr:x>0.02059</cdr:x>
      <cdr:y>0.02288</cdr:y>
    </cdr:from>
    <cdr:to>
      <cdr:x>0.97353</cdr:x>
      <cdr:y>0.20261</cdr:y>
    </cdr:to>
    <cdr:sp macro="" textlink="">
      <cdr:nvSpPr>
        <cdr:cNvPr id="2" name="Rectangle 1">
          <a:extLst xmlns:a="http://schemas.openxmlformats.org/drawingml/2006/main">
            <a:ext uri="{FF2B5EF4-FFF2-40B4-BE49-F238E27FC236}">
              <a16:creationId xmlns:a16="http://schemas.microsoft.com/office/drawing/2014/main" id="{49A04F6F-8E76-95EE-75A2-BD603187AA57}"/>
            </a:ext>
          </a:extLst>
        </cdr:cNvPr>
        <cdr:cNvSpPr/>
      </cdr:nvSpPr>
      <cdr:spPr>
        <a:xfrm xmlns:a="http://schemas.openxmlformats.org/drawingml/2006/main">
          <a:off x="124171" y="86040"/>
          <a:ext cx="5746882" cy="67587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bg1"/>
              </a:solidFill>
            </a:rPr>
            <a:t>Most viewers prefer watching TV series at night</a:t>
          </a:r>
        </a:p>
      </cdr:txBody>
    </cdr:sp>
  </cdr:relSizeAnchor>
</c:userShapes>
</file>

<file path=xl/drawings/drawing19.xml><?xml version="1.0" encoding="utf-8"?>
<c:userShapes xmlns:c="http://schemas.openxmlformats.org/drawingml/2006/chart">
  <cdr:relSizeAnchor xmlns:cdr="http://schemas.openxmlformats.org/drawingml/2006/chartDrawing">
    <cdr:from>
      <cdr:x>0.03518</cdr:x>
      <cdr:y>0.01336</cdr:y>
    </cdr:from>
    <cdr:to>
      <cdr:x>0.98117</cdr:x>
      <cdr:y>0.19036</cdr:y>
    </cdr:to>
    <cdr:sp macro="" textlink="">
      <cdr:nvSpPr>
        <cdr:cNvPr id="2" name="Rectangle 1">
          <a:extLst xmlns:a="http://schemas.openxmlformats.org/drawingml/2006/main">
            <a:ext uri="{FF2B5EF4-FFF2-40B4-BE49-F238E27FC236}">
              <a16:creationId xmlns:a16="http://schemas.microsoft.com/office/drawing/2014/main" id="{48B200EF-23B3-F4BC-3CAE-FB2C769D3ED1}"/>
            </a:ext>
          </a:extLst>
        </cdr:cNvPr>
        <cdr:cNvSpPr/>
      </cdr:nvSpPr>
      <cdr:spPr>
        <a:xfrm xmlns:a="http://schemas.openxmlformats.org/drawingml/2006/main">
          <a:off x="134023" y="36531"/>
          <a:ext cx="3603812" cy="48409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chemeClr val="bg1"/>
              </a:solidFill>
            </a:rPr>
            <a:t>Most viewers belong to the 18–25 age category, indicating that younger audiences dominate TV series consumption.</a:t>
          </a:r>
        </a:p>
      </cdr:txBody>
    </cdr:sp>
  </cdr:relSizeAnchor>
</c:userShapes>
</file>

<file path=xl/drawings/drawing20.xml><?xml version="1.0" encoding="utf-8"?>
<c:userShapes xmlns:c="http://schemas.openxmlformats.org/drawingml/2006/chart">
  <cdr:relSizeAnchor xmlns:cdr="http://schemas.openxmlformats.org/drawingml/2006/chartDrawing">
    <cdr:from>
      <cdr:x>0</cdr:x>
      <cdr:y>2.82401E-7</cdr:y>
    </cdr:from>
    <cdr:to>
      <cdr:x>1</cdr:x>
      <cdr:y>0.17468</cdr:y>
    </cdr:to>
    <cdr:sp macro="" textlink="">
      <cdr:nvSpPr>
        <cdr:cNvPr id="2" name="Rectangle 1">
          <a:extLst xmlns:a="http://schemas.openxmlformats.org/drawingml/2006/main">
            <a:ext uri="{FF2B5EF4-FFF2-40B4-BE49-F238E27FC236}">
              <a16:creationId xmlns:a16="http://schemas.microsoft.com/office/drawing/2014/main" id="{586699B2-4514-E762-4604-98D41E321E30}"/>
            </a:ext>
          </a:extLst>
        </cdr:cNvPr>
        <cdr:cNvSpPr/>
      </cdr:nvSpPr>
      <cdr:spPr>
        <a:xfrm xmlns:a="http://schemas.openxmlformats.org/drawingml/2006/main">
          <a:off x="0" y="1"/>
          <a:ext cx="6051175" cy="61856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100" kern="1200">
              <a:solidFill>
                <a:schemeClr val="bg1"/>
              </a:solidFill>
            </a:rPr>
            <a:t>The chart presents the average ratings of TV series across different genres. Fantasy has the highest average rating,followed</a:t>
          </a:r>
          <a:r>
            <a:rPr lang="en-IN" sz="1100" kern="1200" baseline="0">
              <a:solidFill>
                <a:schemeClr val="bg1"/>
              </a:solidFill>
            </a:rPr>
            <a:t> by Sci-Fi.</a:t>
          </a:r>
          <a:r>
            <a:rPr lang="en-IN" sz="1100" kern="1200">
              <a:solidFill>
                <a:schemeClr val="bg1"/>
              </a:solidFill>
            </a:rPr>
            <a:t>This results suggest that viewers tend to prefer fantasy and science-fiction based content in terms of overall ratings</a:t>
          </a:r>
          <a:r>
            <a:rPr lang="en-IN" sz="1000" kern="1200">
              <a:solidFill>
                <a:schemeClr val="bg1"/>
              </a:solidFill>
            </a:rPr>
            <a: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 mayekar" refreshedDate="46092.830859027781" createdVersion="8" refreshedVersion="8" minRefreshableVersion="3" recordCount="300" xr:uid="{682DF299-0405-4D03-AC57-32F1020CD479}">
  <cacheSource type="worksheet">
    <worksheetSource ref="A1:N301" sheet="TV Series Dataset"/>
  </cacheSource>
  <cacheFields count="14">
    <cacheField name="Viewer ID" numFmtId="0">
      <sharedItems count="300">
        <s v="V001"/>
        <s v="V002"/>
        <s v="V003"/>
        <s v="V004"/>
        <s v="V005"/>
        <s v="V006"/>
        <s v="V007"/>
        <s v="V008"/>
        <s v="V009"/>
        <s v="V010"/>
        <s v="V011"/>
        <s v="V012"/>
        <s v="V013"/>
        <s v="V014"/>
        <s v="V015"/>
        <s v="V016"/>
        <s v="V017"/>
        <s v="V018"/>
        <s v="V019"/>
        <s v="V020"/>
        <s v="V021"/>
        <s v="V022"/>
        <s v="V023"/>
        <s v="V024"/>
        <s v="V025"/>
        <s v="V026"/>
        <s v="V027"/>
        <s v="V028"/>
        <s v="V029"/>
        <s v="V030"/>
        <s v="V031"/>
        <s v="V032"/>
        <s v="V033"/>
        <s v="V034"/>
        <s v="V035"/>
        <s v="V036"/>
        <s v="V037"/>
        <s v="V038"/>
        <s v="V039"/>
        <s v="V040"/>
        <s v="V041"/>
        <s v="V042"/>
        <s v="V043"/>
        <s v="V044"/>
        <s v="V045"/>
        <s v="V046"/>
        <s v="V047"/>
        <s v="V048"/>
        <s v="V049"/>
        <s v="V050"/>
        <s v="V051"/>
        <s v="V052"/>
        <s v="V053"/>
        <s v="V054"/>
        <s v="V055"/>
        <s v="V056"/>
        <s v="V057"/>
        <s v="V058"/>
        <s v="V059"/>
        <s v="V060"/>
        <s v="V061"/>
        <s v="V062"/>
        <s v="V063"/>
        <s v="V064"/>
        <s v="V065"/>
        <s v="V066"/>
        <s v="V067"/>
        <s v="V068"/>
        <s v="V069"/>
        <s v="V070"/>
        <s v="V071"/>
        <s v="V072"/>
        <s v="V073"/>
        <s v="V074"/>
        <s v="V075"/>
        <s v="V076"/>
        <s v="V077"/>
        <s v="V078"/>
        <s v="V079"/>
        <s v="V080"/>
        <s v="V081"/>
        <s v="V082"/>
        <s v="V083"/>
        <s v="V084"/>
        <s v="V085"/>
        <s v="V086"/>
        <s v="V087"/>
        <s v="V088"/>
        <s v="V089"/>
        <s v="V090"/>
        <s v="V091"/>
        <s v="V092"/>
        <s v="V093"/>
        <s v="V094"/>
        <s v="V095"/>
        <s v="V096"/>
        <s v="V097"/>
        <s v="V098"/>
        <s v="V099"/>
        <s v="V100"/>
        <s v="V101"/>
        <s v="V102"/>
        <s v="V103"/>
        <s v="V104"/>
        <s v="V105"/>
        <s v="V106"/>
        <s v="V107"/>
        <s v="V108"/>
        <s v="V109"/>
        <s v="V110"/>
        <s v="V111"/>
        <s v="V112"/>
        <s v="V113"/>
        <s v="V114"/>
        <s v="V115"/>
        <s v="V116"/>
        <s v="V117"/>
        <s v="V118"/>
        <s v="V119"/>
        <s v="V120"/>
        <s v="V121"/>
        <s v="V122"/>
        <s v="V123"/>
        <s v="V124"/>
        <s v="V125"/>
        <s v="V126"/>
        <s v="V127"/>
        <s v="V128"/>
        <s v="V129"/>
        <s v="V130"/>
        <s v="V131"/>
        <s v="V132"/>
        <s v="V133"/>
        <s v="V134"/>
        <s v="V135"/>
        <s v="V136"/>
        <s v="V137"/>
        <s v="V138"/>
        <s v="V139"/>
        <s v="V140"/>
        <s v="V141"/>
        <s v="V142"/>
        <s v="V143"/>
        <s v="V144"/>
        <s v="V145"/>
        <s v="V146"/>
        <s v="V147"/>
        <s v="V148"/>
        <s v="V149"/>
        <s v="V150"/>
        <s v="V151"/>
        <s v="V152"/>
        <s v="V153"/>
        <s v="V154"/>
        <s v="V155"/>
        <s v="V156"/>
        <s v="V157"/>
        <s v="V158"/>
        <s v="V159"/>
        <s v="V160"/>
        <s v="V161"/>
        <s v="V162"/>
        <s v="V163"/>
        <s v="V164"/>
        <s v="V165"/>
        <s v="V166"/>
        <s v="V167"/>
        <s v="V168"/>
        <s v="V169"/>
        <s v="V170"/>
        <s v="V171"/>
        <s v="V172"/>
        <s v="V173"/>
        <s v="V174"/>
        <s v="V175"/>
        <s v="V176"/>
        <s v="V177"/>
        <s v="V178"/>
        <s v="V179"/>
        <s v="V180"/>
        <s v="V181"/>
        <s v="V182"/>
        <s v="V183"/>
        <s v="V184"/>
        <s v="V185"/>
        <s v="V186"/>
        <s v="V187"/>
        <s v="V188"/>
        <s v="V189"/>
        <s v="V190"/>
        <s v="V191"/>
        <s v="V192"/>
        <s v="V193"/>
        <s v="V194"/>
        <s v="V195"/>
        <s v="V196"/>
        <s v="V197"/>
        <s v="V198"/>
        <s v="V199"/>
        <s v="V200"/>
        <s v="V201"/>
        <s v="V202"/>
        <s v="V203"/>
        <s v="V204"/>
        <s v="V205"/>
        <s v="V206"/>
        <s v="V207"/>
        <s v="V208"/>
        <s v="V209"/>
        <s v="V210"/>
        <s v="V211"/>
        <s v="V212"/>
        <s v="V213"/>
        <s v="V214"/>
        <s v="V215"/>
        <s v="V216"/>
        <s v="V217"/>
        <s v="V218"/>
        <s v="V219"/>
        <s v="V220"/>
        <s v="V221"/>
        <s v="V222"/>
        <s v="V223"/>
        <s v="V224"/>
        <s v="V225"/>
        <s v="V226"/>
        <s v="V227"/>
        <s v="V228"/>
        <s v="V229"/>
        <s v="V230"/>
        <s v="V231"/>
        <s v="V232"/>
        <s v="V233"/>
        <s v="V234"/>
        <s v="V235"/>
        <s v="V236"/>
        <s v="V237"/>
        <s v="V238"/>
        <s v="V239"/>
        <s v="V240"/>
        <s v="V241"/>
        <s v="V242"/>
        <s v="V243"/>
        <s v="V244"/>
        <s v="V245"/>
        <s v="V246"/>
        <s v="V247"/>
        <s v="V248"/>
        <s v="V249"/>
        <s v="V250"/>
        <s v="V251"/>
        <s v="V252"/>
        <s v="V253"/>
        <s v="V254"/>
        <s v="V255"/>
        <s v="V256"/>
        <s v="V257"/>
        <s v="V258"/>
        <s v="V259"/>
        <s v="V260"/>
        <s v="V261"/>
        <s v="V262"/>
        <s v="V263"/>
        <s v="V264"/>
        <s v="V265"/>
        <s v="V266"/>
        <s v="V267"/>
        <s v="V268"/>
        <s v="V269"/>
        <s v="V270"/>
        <s v="V271"/>
        <s v="V272"/>
        <s v="V273"/>
        <s v="V274"/>
        <s v="V275"/>
        <s v="V276"/>
        <s v="V277"/>
        <s v="V278"/>
        <s v="V279"/>
        <s v="V280"/>
        <s v="V281"/>
        <s v="V282"/>
        <s v="V283"/>
        <s v="V284"/>
        <s v="V285"/>
        <s v="V286"/>
        <s v="V287"/>
        <s v="V288"/>
        <s v="V289"/>
        <s v="V290"/>
        <s v="V291"/>
        <s v="V292"/>
        <s v="V293"/>
        <s v="V294"/>
        <s v="V295"/>
        <s v="V296"/>
        <s v="V297"/>
        <s v="V298"/>
        <s v="V299"/>
        <s v="V300"/>
      </sharedItems>
    </cacheField>
    <cacheField name="Age" numFmtId="0">
      <sharedItems containsSemiMixedTypes="0" containsString="0" containsNumber="1" containsInteger="1" minValue="18" maxValue="60"/>
    </cacheField>
    <cacheField name="Gender" numFmtId="0">
      <sharedItems count="2">
        <s v="Female"/>
        <s v="Male"/>
      </sharedItems>
    </cacheField>
    <cacheField name="Country" numFmtId="0">
      <sharedItems count="10">
        <s v="Australia"/>
        <s v="Germany"/>
        <s v="India"/>
        <s v="USA"/>
        <s v="Japan"/>
        <s v="Canada"/>
        <s v="France"/>
        <s v="Brazil"/>
        <s v="South Korea"/>
        <s v="UK"/>
      </sharedItems>
    </cacheField>
    <cacheField name="Favorite TV Series" numFmtId="0">
      <sharedItems count="25">
        <s v="The Office"/>
        <s v="Lost"/>
        <s v="Narcos"/>
        <s v="Prison Break"/>
        <s v="Wednesday"/>
        <s v="Breaking Bad"/>
        <s v="Peaky Blinders"/>
        <s v="The Mandalorian"/>
        <s v="House of the Dragon"/>
        <s v="The Boys"/>
        <s v="The Witcher"/>
        <s v="Dark"/>
        <s v="Stranger Things"/>
        <s v="True Detective"/>
        <s v="Modern Family"/>
        <s v="Friends"/>
        <s v="Better Call Saul"/>
        <s v="Game of Thrones"/>
        <s v="How I Met Your Mother"/>
        <s v="Black Mirror"/>
        <s v="Loki"/>
        <s v="Sherlock"/>
        <s v="Squid Game"/>
        <s v="Vikings"/>
        <s v="Money Heist"/>
      </sharedItems>
    </cacheField>
    <cacheField name="Genre" numFmtId="0">
      <sharedItems count="12">
        <s v="Comedy"/>
        <s v="Mystery/Drama"/>
        <s v="Crime"/>
        <s v="Crime/Drama"/>
        <s v="Mystery/Comedy"/>
        <s v="Sci-Fi"/>
        <s v="Fantasy"/>
        <s v="Action/Sci-Fi"/>
        <s v="Crime/Mystery"/>
        <s v="Thriller"/>
        <s v="Historical/Drama"/>
        <s v="Crime/Thriller"/>
      </sharedItems>
    </cacheField>
    <cacheField name="Episodes Watched Per Session" numFmtId="0">
      <sharedItems containsSemiMixedTypes="0" containsString="0" containsNumber="1" containsInteger="1" minValue="1" maxValue="8"/>
    </cacheField>
    <cacheField name="Hours Watched Per Week" numFmtId="0">
      <sharedItems containsSemiMixedTypes="0" containsString="0" containsNumber="1" containsInteger="1" minValue="1" maxValue="15"/>
    </cacheField>
    <cacheField name="Preferred Watching Time" numFmtId="0">
      <sharedItems count="3">
        <s v="Night"/>
        <s v="Afternoon"/>
        <s v="Morning"/>
      </sharedItems>
    </cacheField>
    <cacheField name="Viewing Day Type" numFmtId="0">
      <sharedItems/>
    </cacheField>
    <cacheField name="Series Rating" numFmtId="0">
      <sharedItems containsSemiMixedTypes="0" containsString="0" containsNumber="1" containsInteger="1" minValue="1" maxValue="10"/>
    </cacheField>
    <cacheField name="Age Category" numFmtId="0">
      <sharedItems count="4">
        <s v="36-45"/>
        <s v="18-25"/>
        <s v="26-35"/>
        <s v="46+"/>
      </sharedItems>
    </cacheField>
    <cacheField name="Viewer Type" numFmtId="0">
      <sharedItems count="3">
        <s v="Regular Viewer"/>
        <s v="Binge Watcher"/>
        <s v="Casual Viewer"/>
      </sharedItems>
    </cacheField>
    <cacheField name="Engagement Level" numFmtId="0">
      <sharedItems count="3">
        <s v="High"/>
        <s v="Low"/>
        <s v="Mediu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n v="39"/>
    <x v="0"/>
    <x v="0"/>
    <x v="0"/>
    <x v="0"/>
    <n v="3"/>
    <n v="12"/>
    <x v="0"/>
    <s v="Weekend"/>
    <n v="9"/>
    <x v="0"/>
    <x v="0"/>
    <x v="0"/>
  </r>
  <r>
    <x v="1"/>
    <n v="18"/>
    <x v="0"/>
    <x v="1"/>
    <x v="1"/>
    <x v="1"/>
    <n v="5"/>
    <n v="2"/>
    <x v="0"/>
    <s v="Weekend"/>
    <n v="9"/>
    <x v="1"/>
    <x v="1"/>
    <x v="1"/>
  </r>
  <r>
    <x v="2"/>
    <n v="20"/>
    <x v="1"/>
    <x v="1"/>
    <x v="2"/>
    <x v="2"/>
    <n v="3"/>
    <n v="1"/>
    <x v="0"/>
    <s v="Weekend"/>
    <n v="10"/>
    <x v="1"/>
    <x v="0"/>
    <x v="1"/>
  </r>
  <r>
    <x v="3"/>
    <n v="27"/>
    <x v="1"/>
    <x v="2"/>
    <x v="3"/>
    <x v="3"/>
    <n v="5"/>
    <n v="9"/>
    <x v="1"/>
    <s v="Weekday"/>
    <n v="8"/>
    <x v="2"/>
    <x v="1"/>
    <x v="2"/>
  </r>
  <r>
    <x v="4"/>
    <n v="24"/>
    <x v="0"/>
    <x v="3"/>
    <x v="4"/>
    <x v="4"/>
    <n v="1"/>
    <n v="9"/>
    <x v="1"/>
    <s v="Weekday"/>
    <n v="10"/>
    <x v="1"/>
    <x v="2"/>
    <x v="2"/>
  </r>
  <r>
    <x v="5"/>
    <n v="22"/>
    <x v="1"/>
    <x v="4"/>
    <x v="4"/>
    <x v="4"/>
    <n v="3"/>
    <n v="12"/>
    <x v="0"/>
    <s v="Weekend"/>
    <n v="9"/>
    <x v="1"/>
    <x v="0"/>
    <x v="0"/>
  </r>
  <r>
    <x v="6"/>
    <n v="37"/>
    <x v="1"/>
    <x v="5"/>
    <x v="2"/>
    <x v="2"/>
    <n v="4"/>
    <n v="13"/>
    <x v="1"/>
    <s v="Weekend"/>
    <n v="7"/>
    <x v="0"/>
    <x v="0"/>
    <x v="0"/>
  </r>
  <r>
    <x v="7"/>
    <n v="21"/>
    <x v="0"/>
    <x v="6"/>
    <x v="5"/>
    <x v="3"/>
    <n v="1"/>
    <n v="9"/>
    <x v="0"/>
    <s v="Weekday"/>
    <n v="8"/>
    <x v="1"/>
    <x v="2"/>
    <x v="2"/>
  </r>
  <r>
    <x v="8"/>
    <n v="19"/>
    <x v="1"/>
    <x v="1"/>
    <x v="6"/>
    <x v="3"/>
    <n v="1"/>
    <n v="10"/>
    <x v="0"/>
    <s v="Weekend"/>
    <n v="8"/>
    <x v="1"/>
    <x v="2"/>
    <x v="2"/>
  </r>
  <r>
    <x v="9"/>
    <n v="32"/>
    <x v="0"/>
    <x v="7"/>
    <x v="0"/>
    <x v="0"/>
    <n v="3"/>
    <n v="7"/>
    <x v="0"/>
    <s v="Weekday"/>
    <n v="9"/>
    <x v="2"/>
    <x v="0"/>
    <x v="2"/>
  </r>
  <r>
    <x v="10"/>
    <n v="19"/>
    <x v="1"/>
    <x v="0"/>
    <x v="7"/>
    <x v="5"/>
    <n v="5"/>
    <n v="5"/>
    <x v="0"/>
    <s v="Weekday"/>
    <n v="10"/>
    <x v="1"/>
    <x v="1"/>
    <x v="1"/>
  </r>
  <r>
    <x v="11"/>
    <n v="23"/>
    <x v="0"/>
    <x v="3"/>
    <x v="8"/>
    <x v="6"/>
    <n v="7"/>
    <n v="11"/>
    <x v="0"/>
    <s v="Weekend"/>
    <n v="8"/>
    <x v="1"/>
    <x v="1"/>
    <x v="0"/>
  </r>
  <r>
    <x v="12"/>
    <n v="28"/>
    <x v="1"/>
    <x v="1"/>
    <x v="9"/>
    <x v="7"/>
    <n v="5"/>
    <n v="10"/>
    <x v="1"/>
    <s v="Weekend"/>
    <n v="10"/>
    <x v="2"/>
    <x v="1"/>
    <x v="2"/>
  </r>
  <r>
    <x v="13"/>
    <n v="31"/>
    <x v="0"/>
    <x v="8"/>
    <x v="1"/>
    <x v="1"/>
    <n v="2"/>
    <n v="8"/>
    <x v="0"/>
    <s v="Weekday"/>
    <n v="10"/>
    <x v="2"/>
    <x v="2"/>
    <x v="2"/>
  </r>
  <r>
    <x v="14"/>
    <n v="37"/>
    <x v="1"/>
    <x v="8"/>
    <x v="10"/>
    <x v="6"/>
    <n v="5"/>
    <n v="3"/>
    <x v="0"/>
    <s v="Weekday"/>
    <n v="10"/>
    <x v="0"/>
    <x v="1"/>
    <x v="1"/>
  </r>
  <r>
    <x v="15"/>
    <n v="26"/>
    <x v="0"/>
    <x v="9"/>
    <x v="11"/>
    <x v="5"/>
    <n v="2"/>
    <n v="13"/>
    <x v="0"/>
    <s v="Weekday"/>
    <n v="9"/>
    <x v="2"/>
    <x v="2"/>
    <x v="0"/>
  </r>
  <r>
    <x v="16"/>
    <n v="32"/>
    <x v="0"/>
    <x v="3"/>
    <x v="12"/>
    <x v="5"/>
    <n v="2"/>
    <n v="2"/>
    <x v="0"/>
    <s v="Weekend"/>
    <n v="9"/>
    <x v="2"/>
    <x v="2"/>
    <x v="1"/>
  </r>
  <r>
    <x v="17"/>
    <n v="33"/>
    <x v="1"/>
    <x v="9"/>
    <x v="13"/>
    <x v="3"/>
    <n v="3"/>
    <n v="10"/>
    <x v="0"/>
    <s v="Weekday"/>
    <n v="8"/>
    <x v="2"/>
    <x v="0"/>
    <x v="2"/>
  </r>
  <r>
    <x v="18"/>
    <n v="35"/>
    <x v="1"/>
    <x v="2"/>
    <x v="3"/>
    <x v="3"/>
    <n v="1"/>
    <n v="11"/>
    <x v="0"/>
    <s v="Weekday"/>
    <n v="7"/>
    <x v="2"/>
    <x v="2"/>
    <x v="0"/>
  </r>
  <r>
    <x v="19"/>
    <n v="39"/>
    <x v="0"/>
    <x v="4"/>
    <x v="14"/>
    <x v="0"/>
    <n v="5"/>
    <n v="6"/>
    <x v="1"/>
    <s v="Weekend"/>
    <n v="8"/>
    <x v="0"/>
    <x v="1"/>
    <x v="2"/>
  </r>
  <r>
    <x v="20"/>
    <n v="39"/>
    <x v="0"/>
    <x v="6"/>
    <x v="11"/>
    <x v="5"/>
    <n v="1"/>
    <n v="2"/>
    <x v="0"/>
    <s v="Weekday"/>
    <n v="9"/>
    <x v="0"/>
    <x v="2"/>
    <x v="1"/>
  </r>
  <r>
    <x v="21"/>
    <n v="33"/>
    <x v="1"/>
    <x v="6"/>
    <x v="14"/>
    <x v="0"/>
    <n v="3"/>
    <n v="9"/>
    <x v="0"/>
    <s v="Weekday"/>
    <n v="6"/>
    <x v="2"/>
    <x v="0"/>
    <x v="2"/>
  </r>
  <r>
    <x v="22"/>
    <n v="31"/>
    <x v="1"/>
    <x v="6"/>
    <x v="12"/>
    <x v="5"/>
    <n v="1"/>
    <n v="1"/>
    <x v="0"/>
    <s v="Weekday"/>
    <n v="9"/>
    <x v="2"/>
    <x v="2"/>
    <x v="1"/>
  </r>
  <r>
    <x v="23"/>
    <n v="34"/>
    <x v="0"/>
    <x v="8"/>
    <x v="12"/>
    <x v="5"/>
    <n v="1"/>
    <n v="8"/>
    <x v="1"/>
    <s v="Weekday"/>
    <n v="9"/>
    <x v="2"/>
    <x v="2"/>
    <x v="2"/>
  </r>
  <r>
    <x v="24"/>
    <n v="22"/>
    <x v="0"/>
    <x v="3"/>
    <x v="5"/>
    <x v="3"/>
    <n v="2"/>
    <n v="9"/>
    <x v="1"/>
    <s v="Weekday"/>
    <n v="9"/>
    <x v="1"/>
    <x v="2"/>
    <x v="2"/>
  </r>
  <r>
    <x v="25"/>
    <n v="38"/>
    <x v="0"/>
    <x v="0"/>
    <x v="4"/>
    <x v="4"/>
    <n v="3"/>
    <n v="1"/>
    <x v="0"/>
    <s v="Weekend"/>
    <n v="10"/>
    <x v="0"/>
    <x v="0"/>
    <x v="1"/>
  </r>
  <r>
    <x v="26"/>
    <n v="25"/>
    <x v="1"/>
    <x v="5"/>
    <x v="15"/>
    <x v="0"/>
    <n v="1"/>
    <n v="7"/>
    <x v="0"/>
    <s v="Weekend"/>
    <n v="10"/>
    <x v="1"/>
    <x v="2"/>
    <x v="2"/>
  </r>
  <r>
    <x v="27"/>
    <n v="30"/>
    <x v="1"/>
    <x v="6"/>
    <x v="12"/>
    <x v="5"/>
    <n v="5"/>
    <n v="14"/>
    <x v="0"/>
    <s v="Weekday"/>
    <n v="9"/>
    <x v="2"/>
    <x v="1"/>
    <x v="0"/>
  </r>
  <r>
    <x v="28"/>
    <n v="32"/>
    <x v="0"/>
    <x v="2"/>
    <x v="13"/>
    <x v="3"/>
    <n v="4"/>
    <n v="8"/>
    <x v="0"/>
    <s v="Weekend"/>
    <n v="8"/>
    <x v="2"/>
    <x v="0"/>
    <x v="2"/>
  </r>
  <r>
    <x v="29"/>
    <n v="23"/>
    <x v="1"/>
    <x v="2"/>
    <x v="9"/>
    <x v="7"/>
    <n v="5"/>
    <n v="2"/>
    <x v="0"/>
    <s v="Weekend"/>
    <n v="9"/>
    <x v="1"/>
    <x v="1"/>
    <x v="1"/>
  </r>
  <r>
    <x v="30"/>
    <n v="26"/>
    <x v="1"/>
    <x v="5"/>
    <x v="15"/>
    <x v="0"/>
    <n v="3"/>
    <n v="13"/>
    <x v="1"/>
    <s v="Weekend"/>
    <n v="9"/>
    <x v="2"/>
    <x v="0"/>
    <x v="0"/>
  </r>
  <r>
    <x v="31"/>
    <n v="38"/>
    <x v="0"/>
    <x v="9"/>
    <x v="16"/>
    <x v="3"/>
    <n v="2"/>
    <n v="6"/>
    <x v="1"/>
    <s v="Weekday"/>
    <n v="9"/>
    <x v="0"/>
    <x v="2"/>
    <x v="2"/>
  </r>
  <r>
    <x v="32"/>
    <n v="20"/>
    <x v="1"/>
    <x v="4"/>
    <x v="17"/>
    <x v="6"/>
    <n v="4"/>
    <n v="4"/>
    <x v="0"/>
    <s v="Weekday"/>
    <n v="10"/>
    <x v="1"/>
    <x v="0"/>
    <x v="1"/>
  </r>
  <r>
    <x v="33"/>
    <n v="26"/>
    <x v="1"/>
    <x v="1"/>
    <x v="18"/>
    <x v="0"/>
    <n v="2"/>
    <n v="6"/>
    <x v="0"/>
    <s v="Weekend"/>
    <n v="8"/>
    <x v="2"/>
    <x v="2"/>
    <x v="2"/>
  </r>
  <r>
    <x v="34"/>
    <n v="18"/>
    <x v="0"/>
    <x v="5"/>
    <x v="10"/>
    <x v="6"/>
    <n v="1"/>
    <n v="5"/>
    <x v="0"/>
    <s v="Weekday"/>
    <n v="10"/>
    <x v="1"/>
    <x v="2"/>
    <x v="1"/>
  </r>
  <r>
    <x v="35"/>
    <n v="22"/>
    <x v="0"/>
    <x v="7"/>
    <x v="12"/>
    <x v="5"/>
    <n v="5"/>
    <n v="14"/>
    <x v="0"/>
    <s v="Weekday"/>
    <n v="9"/>
    <x v="1"/>
    <x v="1"/>
    <x v="0"/>
  </r>
  <r>
    <x v="36"/>
    <n v="32"/>
    <x v="0"/>
    <x v="1"/>
    <x v="6"/>
    <x v="3"/>
    <n v="3"/>
    <n v="1"/>
    <x v="0"/>
    <s v="Weekday"/>
    <n v="8"/>
    <x v="2"/>
    <x v="0"/>
    <x v="1"/>
  </r>
  <r>
    <x v="37"/>
    <n v="30"/>
    <x v="1"/>
    <x v="6"/>
    <x v="18"/>
    <x v="0"/>
    <n v="1"/>
    <n v="1"/>
    <x v="1"/>
    <s v="Weekday"/>
    <n v="9"/>
    <x v="2"/>
    <x v="2"/>
    <x v="1"/>
  </r>
  <r>
    <x v="38"/>
    <n v="23"/>
    <x v="1"/>
    <x v="2"/>
    <x v="18"/>
    <x v="0"/>
    <n v="5"/>
    <n v="14"/>
    <x v="1"/>
    <s v="Weekend"/>
    <n v="10"/>
    <x v="1"/>
    <x v="1"/>
    <x v="0"/>
  </r>
  <r>
    <x v="39"/>
    <n v="18"/>
    <x v="1"/>
    <x v="0"/>
    <x v="19"/>
    <x v="5"/>
    <n v="2"/>
    <n v="6"/>
    <x v="0"/>
    <s v="Weekday"/>
    <n v="9"/>
    <x v="1"/>
    <x v="2"/>
    <x v="2"/>
  </r>
  <r>
    <x v="40"/>
    <n v="22"/>
    <x v="0"/>
    <x v="0"/>
    <x v="19"/>
    <x v="5"/>
    <n v="4"/>
    <n v="6"/>
    <x v="0"/>
    <s v="Weekday"/>
    <n v="9"/>
    <x v="1"/>
    <x v="0"/>
    <x v="2"/>
  </r>
  <r>
    <x v="41"/>
    <n v="19"/>
    <x v="1"/>
    <x v="2"/>
    <x v="20"/>
    <x v="5"/>
    <n v="3"/>
    <n v="14"/>
    <x v="1"/>
    <s v="Weekday"/>
    <n v="9"/>
    <x v="1"/>
    <x v="0"/>
    <x v="0"/>
  </r>
  <r>
    <x v="42"/>
    <n v="34"/>
    <x v="0"/>
    <x v="8"/>
    <x v="8"/>
    <x v="6"/>
    <n v="4"/>
    <n v="4"/>
    <x v="1"/>
    <s v="Weekend"/>
    <n v="10"/>
    <x v="2"/>
    <x v="0"/>
    <x v="1"/>
  </r>
  <r>
    <x v="43"/>
    <n v="20"/>
    <x v="0"/>
    <x v="9"/>
    <x v="3"/>
    <x v="3"/>
    <n v="4"/>
    <n v="10"/>
    <x v="0"/>
    <s v="Weekend"/>
    <n v="10"/>
    <x v="1"/>
    <x v="0"/>
    <x v="2"/>
  </r>
  <r>
    <x v="44"/>
    <n v="24"/>
    <x v="1"/>
    <x v="6"/>
    <x v="21"/>
    <x v="8"/>
    <n v="2"/>
    <n v="2"/>
    <x v="0"/>
    <s v="Weekday"/>
    <n v="9"/>
    <x v="1"/>
    <x v="2"/>
    <x v="1"/>
  </r>
  <r>
    <x v="45"/>
    <n v="20"/>
    <x v="1"/>
    <x v="8"/>
    <x v="4"/>
    <x v="4"/>
    <n v="1"/>
    <n v="10"/>
    <x v="0"/>
    <s v="Weekend"/>
    <n v="8"/>
    <x v="1"/>
    <x v="2"/>
    <x v="2"/>
  </r>
  <r>
    <x v="46"/>
    <n v="22"/>
    <x v="1"/>
    <x v="4"/>
    <x v="5"/>
    <x v="3"/>
    <n v="3"/>
    <n v="9"/>
    <x v="0"/>
    <s v="Weekday"/>
    <n v="4"/>
    <x v="1"/>
    <x v="0"/>
    <x v="2"/>
  </r>
  <r>
    <x v="47"/>
    <n v="22"/>
    <x v="1"/>
    <x v="2"/>
    <x v="5"/>
    <x v="3"/>
    <n v="4"/>
    <n v="13"/>
    <x v="0"/>
    <s v="Weekend"/>
    <n v="7"/>
    <x v="1"/>
    <x v="0"/>
    <x v="0"/>
  </r>
  <r>
    <x v="48"/>
    <n v="60"/>
    <x v="1"/>
    <x v="4"/>
    <x v="15"/>
    <x v="0"/>
    <n v="2"/>
    <n v="14"/>
    <x v="0"/>
    <s v="Weekend"/>
    <n v="2"/>
    <x v="3"/>
    <x v="2"/>
    <x v="0"/>
  </r>
  <r>
    <x v="49"/>
    <n v="22"/>
    <x v="0"/>
    <x v="3"/>
    <x v="1"/>
    <x v="1"/>
    <n v="3"/>
    <n v="7"/>
    <x v="0"/>
    <s v="Weekend"/>
    <n v="5"/>
    <x v="1"/>
    <x v="0"/>
    <x v="2"/>
  </r>
  <r>
    <x v="50"/>
    <n v="24"/>
    <x v="0"/>
    <x v="3"/>
    <x v="6"/>
    <x v="3"/>
    <n v="5"/>
    <n v="14"/>
    <x v="1"/>
    <s v="Weekend"/>
    <n v="4"/>
    <x v="1"/>
    <x v="1"/>
    <x v="0"/>
  </r>
  <r>
    <x v="51"/>
    <n v="32"/>
    <x v="1"/>
    <x v="1"/>
    <x v="0"/>
    <x v="0"/>
    <n v="5"/>
    <n v="11"/>
    <x v="0"/>
    <s v="Weekend"/>
    <n v="9"/>
    <x v="2"/>
    <x v="1"/>
    <x v="0"/>
  </r>
  <r>
    <x v="52"/>
    <n v="21"/>
    <x v="1"/>
    <x v="9"/>
    <x v="19"/>
    <x v="5"/>
    <n v="3"/>
    <n v="14"/>
    <x v="0"/>
    <s v="Weekend"/>
    <n v="9"/>
    <x v="1"/>
    <x v="0"/>
    <x v="0"/>
  </r>
  <r>
    <x v="53"/>
    <n v="22"/>
    <x v="0"/>
    <x v="2"/>
    <x v="17"/>
    <x v="6"/>
    <n v="5"/>
    <n v="13"/>
    <x v="0"/>
    <s v="Weekday"/>
    <n v="9"/>
    <x v="1"/>
    <x v="1"/>
    <x v="0"/>
  </r>
  <r>
    <x v="54"/>
    <n v="36"/>
    <x v="0"/>
    <x v="6"/>
    <x v="2"/>
    <x v="2"/>
    <n v="5"/>
    <n v="6"/>
    <x v="0"/>
    <s v="Weekend"/>
    <n v="8"/>
    <x v="0"/>
    <x v="1"/>
    <x v="2"/>
  </r>
  <r>
    <x v="55"/>
    <n v="22"/>
    <x v="1"/>
    <x v="9"/>
    <x v="2"/>
    <x v="2"/>
    <n v="1"/>
    <n v="5"/>
    <x v="0"/>
    <s v="Weekend"/>
    <n v="4"/>
    <x v="1"/>
    <x v="2"/>
    <x v="1"/>
  </r>
  <r>
    <x v="56"/>
    <n v="23"/>
    <x v="0"/>
    <x v="0"/>
    <x v="7"/>
    <x v="5"/>
    <n v="2"/>
    <n v="14"/>
    <x v="0"/>
    <s v="Weekend"/>
    <n v="9"/>
    <x v="1"/>
    <x v="2"/>
    <x v="0"/>
  </r>
  <r>
    <x v="57"/>
    <n v="23"/>
    <x v="0"/>
    <x v="4"/>
    <x v="13"/>
    <x v="3"/>
    <n v="4"/>
    <n v="9"/>
    <x v="0"/>
    <s v="Weekday"/>
    <n v="2"/>
    <x v="1"/>
    <x v="0"/>
    <x v="2"/>
  </r>
  <r>
    <x v="58"/>
    <n v="19"/>
    <x v="0"/>
    <x v="0"/>
    <x v="9"/>
    <x v="7"/>
    <n v="2"/>
    <n v="5"/>
    <x v="0"/>
    <s v="Weekday"/>
    <n v="3"/>
    <x v="1"/>
    <x v="2"/>
    <x v="1"/>
  </r>
  <r>
    <x v="59"/>
    <n v="24"/>
    <x v="0"/>
    <x v="0"/>
    <x v="12"/>
    <x v="5"/>
    <n v="2"/>
    <n v="5"/>
    <x v="0"/>
    <s v="Weekday"/>
    <n v="9"/>
    <x v="1"/>
    <x v="2"/>
    <x v="1"/>
  </r>
  <r>
    <x v="60"/>
    <n v="23"/>
    <x v="1"/>
    <x v="2"/>
    <x v="2"/>
    <x v="2"/>
    <n v="1"/>
    <n v="12"/>
    <x v="1"/>
    <s v="Weekday"/>
    <n v="1"/>
    <x v="1"/>
    <x v="2"/>
    <x v="0"/>
  </r>
  <r>
    <x v="61"/>
    <n v="30"/>
    <x v="1"/>
    <x v="5"/>
    <x v="14"/>
    <x v="0"/>
    <n v="2"/>
    <n v="15"/>
    <x v="0"/>
    <s v="Weekend"/>
    <n v="9"/>
    <x v="2"/>
    <x v="2"/>
    <x v="0"/>
  </r>
  <r>
    <x v="62"/>
    <n v="25"/>
    <x v="1"/>
    <x v="8"/>
    <x v="4"/>
    <x v="4"/>
    <n v="1"/>
    <n v="6"/>
    <x v="0"/>
    <s v="Weekday"/>
    <n v="8"/>
    <x v="1"/>
    <x v="2"/>
    <x v="2"/>
  </r>
  <r>
    <x v="63"/>
    <n v="20"/>
    <x v="0"/>
    <x v="5"/>
    <x v="12"/>
    <x v="5"/>
    <n v="5"/>
    <n v="13"/>
    <x v="0"/>
    <s v="Weekday"/>
    <n v="9"/>
    <x v="1"/>
    <x v="1"/>
    <x v="0"/>
  </r>
  <r>
    <x v="64"/>
    <n v="25"/>
    <x v="0"/>
    <x v="0"/>
    <x v="13"/>
    <x v="3"/>
    <n v="1"/>
    <n v="12"/>
    <x v="0"/>
    <s v="Weekday"/>
    <n v="10"/>
    <x v="1"/>
    <x v="2"/>
    <x v="0"/>
  </r>
  <r>
    <x v="65"/>
    <n v="22"/>
    <x v="0"/>
    <x v="6"/>
    <x v="22"/>
    <x v="9"/>
    <n v="3"/>
    <n v="2"/>
    <x v="0"/>
    <s v="Weekend"/>
    <n v="6"/>
    <x v="1"/>
    <x v="0"/>
    <x v="1"/>
  </r>
  <r>
    <x v="66"/>
    <n v="27"/>
    <x v="1"/>
    <x v="0"/>
    <x v="0"/>
    <x v="0"/>
    <n v="4"/>
    <n v="3"/>
    <x v="0"/>
    <s v="Weekend"/>
    <n v="9"/>
    <x v="2"/>
    <x v="0"/>
    <x v="1"/>
  </r>
  <r>
    <x v="67"/>
    <n v="55"/>
    <x v="1"/>
    <x v="8"/>
    <x v="8"/>
    <x v="6"/>
    <n v="1"/>
    <n v="2"/>
    <x v="0"/>
    <s v="Weekend"/>
    <n v="9"/>
    <x v="3"/>
    <x v="2"/>
    <x v="1"/>
  </r>
  <r>
    <x v="68"/>
    <n v="20"/>
    <x v="1"/>
    <x v="6"/>
    <x v="8"/>
    <x v="6"/>
    <n v="2"/>
    <n v="4"/>
    <x v="0"/>
    <s v="Weekend"/>
    <n v="9"/>
    <x v="1"/>
    <x v="2"/>
    <x v="1"/>
  </r>
  <r>
    <x v="69"/>
    <n v="22"/>
    <x v="1"/>
    <x v="3"/>
    <x v="9"/>
    <x v="7"/>
    <n v="5"/>
    <n v="15"/>
    <x v="0"/>
    <s v="Weekday"/>
    <n v="3"/>
    <x v="1"/>
    <x v="1"/>
    <x v="0"/>
  </r>
  <r>
    <x v="70"/>
    <n v="35"/>
    <x v="0"/>
    <x v="5"/>
    <x v="2"/>
    <x v="2"/>
    <n v="4"/>
    <n v="13"/>
    <x v="0"/>
    <s v="Weekday"/>
    <n v="10"/>
    <x v="2"/>
    <x v="0"/>
    <x v="0"/>
  </r>
  <r>
    <x v="71"/>
    <n v="18"/>
    <x v="0"/>
    <x v="4"/>
    <x v="19"/>
    <x v="5"/>
    <n v="4"/>
    <n v="5"/>
    <x v="0"/>
    <s v="Weekend"/>
    <n v="9"/>
    <x v="1"/>
    <x v="0"/>
    <x v="1"/>
  </r>
  <r>
    <x v="72"/>
    <n v="22"/>
    <x v="0"/>
    <x v="1"/>
    <x v="20"/>
    <x v="5"/>
    <n v="5"/>
    <n v="9"/>
    <x v="0"/>
    <s v="Weekday"/>
    <n v="9"/>
    <x v="1"/>
    <x v="1"/>
    <x v="2"/>
  </r>
  <r>
    <x v="73"/>
    <n v="34"/>
    <x v="0"/>
    <x v="1"/>
    <x v="0"/>
    <x v="0"/>
    <n v="4"/>
    <n v="6"/>
    <x v="1"/>
    <s v="Weekday"/>
    <n v="9"/>
    <x v="2"/>
    <x v="0"/>
    <x v="2"/>
  </r>
  <r>
    <x v="74"/>
    <n v="23"/>
    <x v="0"/>
    <x v="8"/>
    <x v="15"/>
    <x v="0"/>
    <n v="1"/>
    <n v="6"/>
    <x v="0"/>
    <s v="Weekday"/>
    <n v="9"/>
    <x v="1"/>
    <x v="2"/>
    <x v="2"/>
  </r>
  <r>
    <x v="75"/>
    <n v="20"/>
    <x v="1"/>
    <x v="7"/>
    <x v="7"/>
    <x v="5"/>
    <n v="2"/>
    <n v="13"/>
    <x v="0"/>
    <s v="Weekday"/>
    <n v="9"/>
    <x v="1"/>
    <x v="2"/>
    <x v="0"/>
  </r>
  <r>
    <x v="76"/>
    <n v="59"/>
    <x v="0"/>
    <x v="2"/>
    <x v="2"/>
    <x v="2"/>
    <n v="1"/>
    <n v="6"/>
    <x v="1"/>
    <s v="Weekday"/>
    <n v="6"/>
    <x v="3"/>
    <x v="2"/>
    <x v="2"/>
  </r>
  <r>
    <x v="77"/>
    <n v="24"/>
    <x v="0"/>
    <x v="3"/>
    <x v="23"/>
    <x v="10"/>
    <n v="4"/>
    <n v="14"/>
    <x v="1"/>
    <s v="Weekday"/>
    <n v="8"/>
    <x v="1"/>
    <x v="0"/>
    <x v="0"/>
  </r>
  <r>
    <x v="78"/>
    <n v="22"/>
    <x v="1"/>
    <x v="8"/>
    <x v="12"/>
    <x v="5"/>
    <n v="1"/>
    <n v="1"/>
    <x v="0"/>
    <s v="Weekday"/>
    <n v="10"/>
    <x v="1"/>
    <x v="2"/>
    <x v="1"/>
  </r>
  <r>
    <x v="79"/>
    <n v="33"/>
    <x v="0"/>
    <x v="1"/>
    <x v="4"/>
    <x v="4"/>
    <n v="1"/>
    <n v="6"/>
    <x v="1"/>
    <s v="Weekend"/>
    <n v="4"/>
    <x v="2"/>
    <x v="2"/>
    <x v="2"/>
  </r>
  <r>
    <x v="80"/>
    <n v="34"/>
    <x v="1"/>
    <x v="3"/>
    <x v="24"/>
    <x v="11"/>
    <n v="5"/>
    <n v="14"/>
    <x v="1"/>
    <s v="Weekday"/>
    <n v="9"/>
    <x v="2"/>
    <x v="1"/>
    <x v="0"/>
  </r>
  <r>
    <x v="81"/>
    <n v="54"/>
    <x v="0"/>
    <x v="9"/>
    <x v="3"/>
    <x v="3"/>
    <n v="3"/>
    <n v="10"/>
    <x v="0"/>
    <s v="Weekend"/>
    <n v="5"/>
    <x v="3"/>
    <x v="0"/>
    <x v="2"/>
  </r>
  <r>
    <x v="82"/>
    <n v="39"/>
    <x v="1"/>
    <x v="4"/>
    <x v="20"/>
    <x v="5"/>
    <n v="3"/>
    <n v="1"/>
    <x v="1"/>
    <s v="Weekday"/>
    <n v="10"/>
    <x v="0"/>
    <x v="0"/>
    <x v="1"/>
  </r>
  <r>
    <x v="83"/>
    <n v="30"/>
    <x v="1"/>
    <x v="8"/>
    <x v="7"/>
    <x v="5"/>
    <n v="1"/>
    <n v="3"/>
    <x v="1"/>
    <s v="Weekday"/>
    <n v="10"/>
    <x v="2"/>
    <x v="2"/>
    <x v="1"/>
  </r>
  <r>
    <x v="84"/>
    <n v="28"/>
    <x v="0"/>
    <x v="3"/>
    <x v="6"/>
    <x v="3"/>
    <n v="2"/>
    <n v="12"/>
    <x v="0"/>
    <s v="Weekend"/>
    <n v="6"/>
    <x v="2"/>
    <x v="2"/>
    <x v="0"/>
  </r>
  <r>
    <x v="85"/>
    <n v="23"/>
    <x v="0"/>
    <x v="3"/>
    <x v="18"/>
    <x v="0"/>
    <n v="2"/>
    <n v="8"/>
    <x v="1"/>
    <s v="Weekend"/>
    <n v="9"/>
    <x v="1"/>
    <x v="2"/>
    <x v="2"/>
  </r>
  <r>
    <x v="86"/>
    <n v="40"/>
    <x v="1"/>
    <x v="0"/>
    <x v="19"/>
    <x v="5"/>
    <n v="3"/>
    <n v="9"/>
    <x v="0"/>
    <s v="Weekday"/>
    <n v="10"/>
    <x v="0"/>
    <x v="0"/>
    <x v="2"/>
  </r>
  <r>
    <x v="87"/>
    <n v="22"/>
    <x v="1"/>
    <x v="3"/>
    <x v="0"/>
    <x v="0"/>
    <n v="3"/>
    <n v="15"/>
    <x v="0"/>
    <s v="Weekend"/>
    <n v="9"/>
    <x v="1"/>
    <x v="0"/>
    <x v="0"/>
  </r>
  <r>
    <x v="88"/>
    <n v="29"/>
    <x v="1"/>
    <x v="6"/>
    <x v="24"/>
    <x v="11"/>
    <n v="3"/>
    <n v="9"/>
    <x v="0"/>
    <s v="Weekend"/>
    <n v="6"/>
    <x v="2"/>
    <x v="0"/>
    <x v="2"/>
  </r>
  <r>
    <x v="89"/>
    <n v="35"/>
    <x v="1"/>
    <x v="3"/>
    <x v="9"/>
    <x v="7"/>
    <n v="4"/>
    <n v="5"/>
    <x v="0"/>
    <s v="Weekday"/>
    <n v="4"/>
    <x v="2"/>
    <x v="0"/>
    <x v="1"/>
  </r>
  <r>
    <x v="90"/>
    <n v="21"/>
    <x v="1"/>
    <x v="0"/>
    <x v="16"/>
    <x v="3"/>
    <n v="4"/>
    <n v="4"/>
    <x v="0"/>
    <s v="Weekend"/>
    <n v="6"/>
    <x v="1"/>
    <x v="0"/>
    <x v="1"/>
  </r>
  <r>
    <x v="91"/>
    <n v="23"/>
    <x v="1"/>
    <x v="7"/>
    <x v="4"/>
    <x v="4"/>
    <n v="4"/>
    <n v="7"/>
    <x v="0"/>
    <s v="Weekend"/>
    <n v="9"/>
    <x v="1"/>
    <x v="0"/>
    <x v="2"/>
  </r>
  <r>
    <x v="92"/>
    <n v="22"/>
    <x v="1"/>
    <x v="7"/>
    <x v="9"/>
    <x v="7"/>
    <n v="2"/>
    <n v="2"/>
    <x v="0"/>
    <s v="Weekday"/>
    <n v="9"/>
    <x v="1"/>
    <x v="2"/>
    <x v="1"/>
  </r>
  <r>
    <x v="93"/>
    <n v="26"/>
    <x v="1"/>
    <x v="4"/>
    <x v="24"/>
    <x v="11"/>
    <n v="3"/>
    <n v="10"/>
    <x v="1"/>
    <s v="Weekend"/>
    <n v="1"/>
    <x v="2"/>
    <x v="0"/>
    <x v="2"/>
  </r>
  <r>
    <x v="94"/>
    <n v="20"/>
    <x v="0"/>
    <x v="0"/>
    <x v="7"/>
    <x v="5"/>
    <n v="5"/>
    <n v="12"/>
    <x v="0"/>
    <s v="Weekday"/>
    <n v="10"/>
    <x v="1"/>
    <x v="1"/>
    <x v="0"/>
  </r>
  <r>
    <x v="95"/>
    <n v="19"/>
    <x v="0"/>
    <x v="6"/>
    <x v="10"/>
    <x v="6"/>
    <n v="2"/>
    <n v="14"/>
    <x v="1"/>
    <s v="Weekend"/>
    <n v="9"/>
    <x v="1"/>
    <x v="2"/>
    <x v="0"/>
  </r>
  <r>
    <x v="96"/>
    <n v="26"/>
    <x v="0"/>
    <x v="1"/>
    <x v="21"/>
    <x v="8"/>
    <n v="2"/>
    <n v="5"/>
    <x v="1"/>
    <s v="Weekend"/>
    <n v="1"/>
    <x v="2"/>
    <x v="2"/>
    <x v="1"/>
  </r>
  <r>
    <x v="97"/>
    <n v="18"/>
    <x v="0"/>
    <x v="4"/>
    <x v="9"/>
    <x v="7"/>
    <n v="3"/>
    <n v="5"/>
    <x v="0"/>
    <s v="Weekend"/>
    <n v="8"/>
    <x v="1"/>
    <x v="0"/>
    <x v="1"/>
  </r>
  <r>
    <x v="98"/>
    <n v="18"/>
    <x v="1"/>
    <x v="5"/>
    <x v="21"/>
    <x v="8"/>
    <n v="5"/>
    <n v="1"/>
    <x v="0"/>
    <s v="Weekend"/>
    <n v="8"/>
    <x v="1"/>
    <x v="1"/>
    <x v="1"/>
  </r>
  <r>
    <x v="99"/>
    <n v="52"/>
    <x v="0"/>
    <x v="7"/>
    <x v="15"/>
    <x v="0"/>
    <n v="3"/>
    <n v="3"/>
    <x v="0"/>
    <s v="Weekend"/>
    <n v="9"/>
    <x v="3"/>
    <x v="0"/>
    <x v="1"/>
  </r>
  <r>
    <x v="100"/>
    <n v="21"/>
    <x v="0"/>
    <x v="9"/>
    <x v="24"/>
    <x v="11"/>
    <n v="1"/>
    <n v="4"/>
    <x v="0"/>
    <s v="Weekday"/>
    <n v="4"/>
    <x v="1"/>
    <x v="2"/>
    <x v="1"/>
  </r>
  <r>
    <x v="101"/>
    <n v="23"/>
    <x v="1"/>
    <x v="1"/>
    <x v="1"/>
    <x v="1"/>
    <n v="3"/>
    <n v="4"/>
    <x v="0"/>
    <s v="Weekend"/>
    <n v="2"/>
    <x v="1"/>
    <x v="0"/>
    <x v="1"/>
  </r>
  <r>
    <x v="102"/>
    <n v="36"/>
    <x v="1"/>
    <x v="7"/>
    <x v="11"/>
    <x v="5"/>
    <n v="3"/>
    <n v="8"/>
    <x v="0"/>
    <s v="Weekend"/>
    <n v="10"/>
    <x v="0"/>
    <x v="0"/>
    <x v="2"/>
  </r>
  <r>
    <x v="103"/>
    <n v="55"/>
    <x v="0"/>
    <x v="3"/>
    <x v="15"/>
    <x v="0"/>
    <n v="2"/>
    <n v="11"/>
    <x v="2"/>
    <s v="Weekday"/>
    <n v="9"/>
    <x v="3"/>
    <x v="2"/>
    <x v="0"/>
  </r>
  <r>
    <x v="104"/>
    <n v="38"/>
    <x v="0"/>
    <x v="7"/>
    <x v="24"/>
    <x v="11"/>
    <n v="3"/>
    <n v="6"/>
    <x v="0"/>
    <s v="Weekend"/>
    <n v="6"/>
    <x v="0"/>
    <x v="0"/>
    <x v="2"/>
  </r>
  <r>
    <x v="105"/>
    <n v="20"/>
    <x v="1"/>
    <x v="1"/>
    <x v="6"/>
    <x v="3"/>
    <n v="1"/>
    <n v="3"/>
    <x v="1"/>
    <s v="Weekend"/>
    <n v="5"/>
    <x v="1"/>
    <x v="2"/>
    <x v="1"/>
  </r>
  <r>
    <x v="106"/>
    <n v="27"/>
    <x v="0"/>
    <x v="5"/>
    <x v="18"/>
    <x v="0"/>
    <n v="1"/>
    <n v="2"/>
    <x v="1"/>
    <s v="Weekday"/>
    <n v="4"/>
    <x v="2"/>
    <x v="2"/>
    <x v="1"/>
  </r>
  <r>
    <x v="107"/>
    <n v="28"/>
    <x v="1"/>
    <x v="2"/>
    <x v="3"/>
    <x v="3"/>
    <n v="5"/>
    <n v="1"/>
    <x v="1"/>
    <s v="Weekday"/>
    <n v="9"/>
    <x v="2"/>
    <x v="1"/>
    <x v="1"/>
  </r>
  <r>
    <x v="108"/>
    <n v="28"/>
    <x v="0"/>
    <x v="0"/>
    <x v="20"/>
    <x v="5"/>
    <n v="1"/>
    <n v="13"/>
    <x v="2"/>
    <s v="Weekend"/>
    <n v="10"/>
    <x v="2"/>
    <x v="2"/>
    <x v="0"/>
  </r>
  <r>
    <x v="109"/>
    <n v="37"/>
    <x v="0"/>
    <x v="5"/>
    <x v="4"/>
    <x v="4"/>
    <n v="2"/>
    <n v="14"/>
    <x v="1"/>
    <s v="Weekend"/>
    <n v="9"/>
    <x v="0"/>
    <x v="2"/>
    <x v="0"/>
  </r>
  <r>
    <x v="110"/>
    <n v="20"/>
    <x v="1"/>
    <x v="9"/>
    <x v="9"/>
    <x v="7"/>
    <n v="2"/>
    <n v="14"/>
    <x v="0"/>
    <s v="Weekday"/>
    <n v="2"/>
    <x v="1"/>
    <x v="2"/>
    <x v="0"/>
  </r>
  <r>
    <x v="111"/>
    <n v="25"/>
    <x v="0"/>
    <x v="7"/>
    <x v="11"/>
    <x v="5"/>
    <n v="5"/>
    <n v="1"/>
    <x v="0"/>
    <s v="Weekend"/>
    <n v="10"/>
    <x v="1"/>
    <x v="1"/>
    <x v="1"/>
  </r>
  <r>
    <x v="112"/>
    <n v="26"/>
    <x v="1"/>
    <x v="7"/>
    <x v="4"/>
    <x v="4"/>
    <n v="3"/>
    <n v="9"/>
    <x v="1"/>
    <s v="Weekday"/>
    <n v="7"/>
    <x v="2"/>
    <x v="0"/>
    <x v="2"/>
  </r>
  <r>
    <x v="113"/>
    <n v="30"/>
    <x v="0"/>
    <x v="8"/>
    <x v="11"/>
    <x v="5"/>
    <n v="1"/>
    <n v="14"/>
    <x v="1"/>
    <s v="Weekend"/>
    <n v="10"/>
    <x v="2"/>
    <x v="2"/>
    <x v="0"/>
  </r>
  <r>
    <x v="114"/>
    <n v="23"/>
    <x v="0"/>
    <x v="4"/>
    <x v="7"/>
    <x v="5"/>
    <n v="1"/>
    <n v="12"/>
    <x v="2"/>
    <s v="Weekday"/>
    <n v="10"/>
    <x v="1"/>
    <x v="2"/>
    <x v="0"/>
  </r>
  <r>
    <x v="115"/>
    <n v="32"/>
    <x v="0"/>
    <x v="9"/>
    <x v="2"/>
    <x v="2"/>
    <n v="4"/>
    <n v="12"/>
    <x v="0"/>
    <s v="Weekend"/>
    <n v="1"/>
    <x v="2"/>
    <x v="0"/>
    <x v="0"/>
  </r>
  <r>
    <x v="116"/>
    <n v="19"/>
    <x v="1"/>
    <x v="9"/>
    <x v="1"/>
    <x v="1"/>
    <n v="3"/>
    <n v="8"/>
    <x v="1"/>
    <s v="Weekday"/>
    <n v="5"/>
    <x v="1"/>
    <x v="0"/>
    <x v="2"/>
  </r>
  <r>
    <x v="117"/>
    <n v="20"/>
    <x v="1"/>
    <x v="7"/>
    <x v="12"/>
    <x v="5"/>
    <n v="2"/>
    <n v="13"/>
    <x v="2"/>
    <s v="Weekend"/>
    <n v="10"/>
    <x v="1"/>
    <x v="2"/>
    <x v="0"/>
  </r>
  <r>
    <x v="118"/>
    <n v="34"/>
    <x v="0"/>
    <x v="9"/>
    <x v="6"/>
    <x v="3"/>
    <n v="5"/>
    <n v="5"/>
    <x v="0"/>
    <s v="Weekend"/>
    <n v="4"/>
    <x v="2"/>
    <x v="1"/>
    <x v="1"/>
  </r>
  <r>
    <x v="119"/>
    <n v="24"/>
    <x v="1"/>
    <x v="1"/>
    <x v="0"/>
    <x v="0"/>
    <n v="2"/>
    <n v="6"/>
    <x v="0"/>
    <s v="Weekday"/>
    <n v="9"/>
    <x v="1"/>
    <x v="2"/>
    <x v="2"/>
  </r>
  <r>
    <x v="120"/>
    <n v="20"/>
    <x v="0"/>
    <x v="4"/>
    <x v="7"/>
    <x v="5"/>
    <n v="3"/>
    <n v="5"/>
    <x v="2"/>
    <s v="Weekday"/>
    <n v="10"/>
    <x v="1"/>
    <x v="0"/>
    <x v="1"/>
  </r>
  <r>
    <x v="121"/>
    <n v="30"/>
    <x v="1"/>
    <x v="4"/>
    <x v="14"/>
    <x v="0"/>
    <n v="1"/>
    <n v="10"/>
    <x v="1"/>
    <s v="Weekend"/>
    <n v="9"/>
    <x v="2"/>
    <x v="2"/>
    <x v="2"/>
  </r>
  <r>
    <x v="122"/>
    <n v="21"/>
    <x v="0"/>
    <x v="3"/>
    <x v="12"/>
    <x v="5"/>
    <n v="2"/>
    <n v="14"/>
    <x v="2"/>
    <s v="Weekday"/>
    <n v="1"/>
    <x v="1"/>
    <x v="2"/>
    <x v="0"/>
  </r>
  <r>
    <x v="123"/>
    <n v="32"/>
    <x v="1"/>
    <x v="7"/>
    <x v="14"/>
    <x v="0"/>
    <n v="2"/>
    <n v="8"/>
    <x v="0"/>
    <s v="Weekday"/>
    <n v="9"/>
    <x v="2"/>
    <x v="2"/>
    <x v="2"/>
  </r>
  <r>
    <x v="124"/>
    <n v="22"/>
    <x v="0"/>
    <x v="3"/>
    <x v="2"/>
    <x v="2"/>
    <n v="2"/>
    <n v="6"/>
    <x v="2"/>
    <s v="Weekday"/>
    <n v="9"/>
    <x v="1"/>
    <x v="2"/>
    <x v="2"/>
  </r>
  <r>
    <x v="125"/>
    <n v="35"/>
    <x v="0"/>
    <x v="9"/>
    <x v="7"/>
    <x v="5"/>
    <n v="3"/>
    <n v="3"/>
    <x v="2"/>
    <s v="Weekend"/>
    <n v="9"/>
    <x v="2"/>
    <x v="0"/>
    <x v="1"/>
  </r>
  <r>
    <x v="126"/>
    <n v="25"/>
    <x v="1"/>
    <x v="0"/>
    <x v="7"/>
    <x v="5"/>
    <n v="1"/>
    <n v="9"/>
    <x v="0"/>
    <s v="Weekday"/>
    <n v="10"/>
    <x v="1"/>
    <x v="2"/>
    <x v="2"/>
  </r>
  <r>
    <x v="127"/>
    <n v="25"/>
    <x v="0"/>
    <x v="1"/>
    <x v="19"/>
    <x v="5"/>
    <n v="3"/>
    <n v="6"/>
    <x v="1"/>
    <s v="Weekday"/>
    <n v="5"/>
    <x v="1"/>
    <x v="0"/>
    <x v="2"/>
  </r>
  <r>
    <x v="128"/>
    <n v="22"/>
    <x v="1"/>
    <x v="8"/>
    <x v="20"/>
    <x v="5"/>
    <n v="4"/>
    <n v="3"/>
    <x v="2"/>
    <s v="Weekday"/>
    <n v="9"/>
    <x v="1"/>
    <x v="0"/>
    <x v="1"/>
  </r>
  <r>
    <x v="129"/>
    <n v="23"/>
    <x v="1"/>
    <x v="5"/>
    <x v="23"/>
    <x v="10"/>
    <n v="4"/>
    <n v="5"/>
    <x v="2"/>
    <s v="Weekend"/>
    <n v="3"/>
    <x v="1"/>
    <x v="0"/>
    <x v="1"/>
  </r>
  <r>
    <x v="130"/>
    <n v="29"/>
    <x v="1"/>
    <x v="7"/>
    <x v="12"/>
    <x v="5"/>
    <n v="1"/>
    <n v="2"/>
    <x v="0"/>
    <s v="Weekend"/>
    <n v="8"/>
    <x v="2"/>
    <x v="2"/>
    <x v="1"/>
  </r>
  <r>
    <x v="131"/>
    <n v="22"/>
    <x v="0"/>
    <x v="7"/>
    <x v="12"/>
    <x v="5"/>
    <n v="3"/>
    <n v="3"/>
    <x v="2"/>
    <s v="Weekday"/>
    <n v="8"/>
    <x v="1"/>
    <x v="0"/>
    <x v="1"/>
  </r>
  <r>
    <x v="132"/>
    <n v="21"/>
    <x v="1"/>
    <x v="4"/>
    <x v="7"/>
    <x v="5"/>
    <n v="4"/>
    <n v="9"/>
    <x v="0"/>
    <s v="Weekday"/>
    <n v="8"/>
    <x v="1"/>
    <x v="0"/>
    <x v="2"/>
  </r>
  <r>
    <x v="133"/>
    <n v="30"/>
    <x v="0"/>
    <x v="8"/>
    <x v="18"/>
    <x v="0"/>
    <n v="3"/>
    <n v="2"/>
    <x v="2"/>
    <s v="Weekend"/>
    <n v="9"/>
    <x v="2"/>
    <x v="0"/>
    <x v="1"/>
  </r>
  <r>
    <x v="134"/>
    <n v="19"/>
    <x v="0"/>
    <x v="3"/>
    <x v="6"/>
    <x v="3"/>
    <n v="5"/>
    <n v="11"/>
    <x v="1"/>
    <s v="Weekend"/>
    <n v="8"/>
    <x v="1"/>
    <x v="1"/>
    <x v="0"/>
  </r>
  <r>
    <x v="135"/>
    <n v="19"/>
    <x v="1"/>
    <x v="9"/>
    <x v="8"/>
    <x v="6"/>
    <n v="4"/>
    <n v="2"/>
    <x v="1"/>
    <s v="Weekday"/>
    <n v="9"/>
    <x v="1"/>
    <x v="0"/>
    <x v="1"/>
  </r>
  <r>
    <x v="136"/>
    <n v="24"/>
    <x v="1"/>
    <x v="4"/>
    <x v="5"/>
    <x v="3"/>
    <n v="3"/>
    <n v="4"/>
    <x v="1"/>
    <s v="Weekend"/>
    <n v="4"/>
    <x v="1"/>
    <x v="0"/>
    <x v="1"/>
  </r>
  <r>
    <x v="137"/>
    <n v="40"/>
    <x v="1"/>
    <x v="9"/>
    <x v="20"/>
    <x v="5"/>
    <n v="1"/>
    <n v="3"/>
    <x v="0"/>
    <s v="Weekday"/>
    <n v="8"/>
    <x v="0"/>
    <x v="2"/>
    <x v="1"/>
  </r>
  <r>
    <x v="138"/>
    <n v="22"/>
    <x v="0"/>
    <x v="1"/>
    <x v="12"/>
    <x v="5"/>
    <n v="5"/>
    <n v="3"/>
    <x v="0"/>
    <s v="Weekend"/>
    <n v="8"/>
    <x v="1"/>
    <x v="1"/>
    <x v="1"/>
  </r>
  <r>
    <x v="139"/>
    <n v="27"/>
    <x v="0"/>
    <x v="4"/>
    <x v="17"/>
    <x v="6"/>
    <n v="3"/>
    <n v="13"/>
    <x v="0"/>
    <s v="Weekday"/>
    <n v="10"/>
    <x v="2"/>
    <x v="0"/>
    <x v="0"/>
  </r>
  <r>
    <x v="140"/>
    <n v="20"/>
    <x v="0"/>
    <x v="3"/>
    <x v="6"/>
    <x v="3"/>
    <n v="3"/>
    <n v="3"/>
    <x v="0"/>
    <s v="Weekday"/>
    <n v="2"/>
    <x v="1"/>
    <x v="0"/>
    <x v="1"/>
  </r>
  <r>
    <x v="141"/>
    <n v="25"/>
    <x v="1"/>
    <x v="0"/>
    <x v="3"/>
    <x v="3"/>
    <n v="1"/>
    <n v="10"/>
    <x v="0"/>
    <s v="Weekend"/>
    <n v="3"/>
    <x v="1"/>
    <x v="2"/>
    <x v="2"/>
  </r>
  <r>
    <x v="142"/>
    <n v="18"/>
    <x v="1"/>
    <x v="6"/>
    <x v="11"/>
    <x v="5"/>
    <n v="5"/>
    <n v="12"/>
    <x v="2"/>
    <s v="Weekday"/>
    <n v="10"/>
    <x v="1"/>
    <x v="1"/>
    <x v="0"/>
  </r>
  <r>
    <x v="143"/>
    <n v="20"/>
    <x v="0"/>
    <x v="6"/>
    <x v="20"/>
    <x v="5"/>
    <n v="5"/>
    <n v="3"/>
    <x v="2"/>
    <s v="Weekday"/>
    <n v="8"/>
    <x v="1"/>
    <x v="1"/>
    <x v="1"/>
  </r>
  <r>
    <x v="144"/>
    <n v="44"/>
    <x v="1"/>
    <x v="0"/>
    <x v="24"/>
    <x v="11"/>
    <n v="2"/>
    <n v="5"/>
    <x v="2"/>
    <s v="Weekday"/>
    <n v="10"/>
    <x v="0"/>
    <x v="2"/>
    <x v="1"/>
  </r>
  <r>
    <x v="145"/>
    <n v="25"/>
    <x v="1"/>
    <x v="1"/>
    <x v="9"/>
    <x v="7"/>
    <n v="5"/>
    <n v="12"/>
    <x v="0"/>
    <s v="Weekend"/>
    <n v="9"/>
    <x v="1"/>
    <x v="1"/>
    <x v="0"/>
  </r>
  <r>
    <x v="146"/>
    <n v="25"/>
    <x v="0"/>
    <x v="8"/>
    <x v="10"/>
    <x v="6"/>
    <n v="4"/>
    <n v="15"/>
    <x v="1"/>
    <s v="Weekend"/>
    <n v="10"/>
    <x v="1"/>
    <x v="0"/>
    <x v="0"/>
  </r>
  <r>
    <x v="147"/>
    <n v="34"/>
    <x v="0"/>
    <x v="9"/>
    <x v="16"/>
    <x v="3"/>
    <n v="1"/>
    <n v="3"/>
    <x v="1"/>
    <s v="Weekend"/>
    <n v="9"/>
    <x v="2"/>
    <x v="2"/>
    <x v="1"/>
  </r>
  <r>
    <x v="148"/>
    <n v="21"/>
    <x v="1"/>
    <x v="1"/>
    <x v="24"/>
    <x v="11"/>
    <n v="2"/>
    <n v="14"/>
    <x v="2"/>
    <s v="Weekday"/>
    <n v="8"/>
    <x v="1"/>
    <x v="2"/>
    <x v="0"/>
  </r>
  <r>
    <x v="149"/>
    <n v="20"/>
    <x v="1"/>
    <x v="7"/>
    <x v="5"/>
    <x v="3"/>
    <n v="1"/>
    <n v="13"/>
    <x v="0"/>
    <s v="Weekday"/>
    <n v="8"/>
    <x v="1"/>
    <x v="2"/>
    <x v="0"/>
  </r>
  <r>
    <x v="150"/>
    <n v="22"/>
    <x v="1"/>
    <x v="1"/>
    <x v="1"/>
    <x v="1"/>
    <n v="3"/>
    <n v="4"/>
    <x v="1"/>
    <s v="Weekday"/>
    <n v="7"/>
    <x v="1"/>
    <x v="0"/>
    <x v="1"/>
  </r>
  <r>
    <x v="151"/>
    <n v="34"/>
    <x v="1"/>
    <x v="1"/>
    <x v="15"/>
    <x v="0"/>
    <n v="1"/>
    <n v="12"/>
    <x v="0"/>
    <s v="Weekday"/>
    <n v="9"/>
    <x v="2"/>
    <x v="2"/>
    <x v="0"/>
  </r>
  <r>
    <x v="152"/>
    <n v="20"/>
    <x v="0"/>
    <x v="5"/>
    <x v="16"/>
    <x v="3"/>
    <n v="1"/>
    <n v="10"/>
    <x v="1"/>
    <s v="Weekend"/>
    <n v="8"/>
    <x v="1"/>
    <x v="2"/>
    <x v="2"/>
  </r>
  <r>
    <x v="153"/>
    <n v="25"/>
    <x v="0"/>
    <x v="5"/>
    <x v="22"/>
    <x v="9"/>
    <n v="4"/>
    <n v="10"/>
    <x v="1"/>
    <s v="Weekday"/>
    <n v="9"/>
    <x v="1"/>
    <x v="0"/>
    <x v="2"/>
  </r>
  <r>
    <x v="154"/>
    <n v="22"/>
    <x v="1"/>
    <x v="5"/>
    <x v="10"/>
    <x v="6"/>
    <n v="4"/>
    <n v="15"/>
    <x v="1"/>
    <s v="Weekday"/>
    <n v="9"/>
    <x v="1"/>
    <x v="0"/>
    <x v="0"/>
  </r>
  <r>
    <x v="155"/>
    <n v="21"/>
    <x v="0"/>
    <x v="0"/>
    <x v="15"/>
    <x v="0"/>
    <n v="1"/>
    <n v="5"/>
    <x v="2"/>
    <s v="Weekend"/>
    <n v="9"/>
    <x v="1"/>
    <x v="2"/>
    <x v="1"/>
  </r>
  <r>
    <x v="156"/>
    <n v="19"/>
    <x v="0"/>
    <x v="0"/>
    <x v="13"/>
    <x v="3"/>
    <n v="3"/>
    <n v="1"/>
    <x v="2"/>
    <s v="Weekday"/>
    <n v="10"/>
    <x v="1"/>
    <x v="0"/>
    <x v="1"/>
  </r>
  <r>
    <x v="157"/>
    <n v="36"/>
    <x v="1"/>
    <x v="6"/>
    <x v="10"/>
    <x v="6"/>
    <n v="4"/>
    <n v="11"/>
    <x v="1"/>
    <s v="Weekday"/>
    <n v="10"/>
    <x v="0"/>
    <x v="0"/>
    <x v="0"/>
  </r>
  <r>
    <x v="158"/>
    <n v="20"/>
    <x v="1"/>
    <x v="7"/>
    <x v="1"/>
    <x v="1"/>
    <n v="3"/>
    <n v="9"/>
    <x v="1"/>
    <s v="Weekday"/>
    <n v="7"/>
    <x v="1"/>
    <x v="0"/>
    <x v="2"/>
  </r>
  <r>
    <x v="159"/>
    <n v="32"/>
    <x v="0"/>
    <x v="4"/>
    <x v="8"/>
    <x v="6"/>
    <n v="5"/>
    <n v="12"/>
    <x v="0"/>
    <s v="Weekend"/>
    <n v="9"/>
    <x v="2"/>
    <x v="1"/>
    <x v="0"/>
  </r>
  <r>
    <x v="160"/>
    <n v="20"/>
    <x v="1"/>
    <x v="8"/>
    <x v="11"/>
    <x v="5"/>
    <n v="2"/>
    <n v="10"/>
    <x v="1"/>
    <s v="Weekend"/>
    <n v="9"/>
    <x v="1"/>
    <x v="2"/>
    <x v="2"/>
  </r>
  <r>
    <x v="161"/>
    <n v="21"/>
    <x v="0"/>
    <x v="6"/>
    <x v="4"/>
    <x v="4"/>
    <n v="1"/>
    <n v="11"/>
    <x v="2"/>
    <s v="Weekend"/>
    <n v="5"/>
    <x v="1"/>
    <x v="2"/>
    <x v="0"/>
  </r>
  <r>
    <x v="162"/>
    <n v="34"/>
    <x v="1"/>
    <x v="8"/>
    <x v="23"/>
    <x v="10"/>
    <n v="2"/>
    <n v="8"/>
    <x v="2"/>
    <s v="Weekend"/>
    <n v="8"/>
    <x v="2"/>
    <x v="2"/>
    <x v="2"/>
  </r>
  <r>
    <x v="163"/>
    <n v="18"/>
    <x v="1"/>
    <x v="4"/>
    <x v="12"/>
    <x v="5"/>
    <n v="5"/>
    <n v="3"/>
    <x v="2"/>
    <s v="Weekend"/>
    <n v="9"/>
    <x v="1"/>
    <x v="1"/>
    <x v="1"/>
  </r>
  <r>
    <x v="164"/>
    <n v="21"/>
    <x v="1"/>
    <x v="3"/>
    <x v="23"/>
    <x v="10"/>
    <n v="5"/>
    <n v="13"/>
    <x v="2"/>
    <s v="Weekday"/>
    <n v="4"/>
    <x v="1"/>
    <x v="1"/>
    <x v="0"/>
  </r>
  <r>
    <x v="165"/>
    <n v="22"/>
    <x v="0"/>
    <x v="5"/>
    <x v="24"/>
    <x v="11"/>
    <n v="6"/>
    <n v="1"/>
    <x v="0"/>
    <s v="Weekday"/>
    <n v="5"/>
    <x v="1"/>
    <x v="1"/>
    <x v="1"/>
  </r>
  <r>
    <x v="166"/>
    <n v="30"/>
    <x v="1"/>
    <x v="7"/>
    <x v="8"/>
    <x v="6"/>
    <n v="3"/>
    <n v="10"/>
    <x v="1"/>
    <s v="Weekday"/>
    <n v="10"/>
    <x v="2"/>
    <x v="0"/>
    <x v="2"/>
  </r>
  <r>
    <x v="167"/>
    <n v="35"/>
    <x v="0"/>
    <x v="4"/>
    <x v="11"/>
    <x v="5"/>
    <n v="4"/>
    <n v="7"/>
    <x v="0"/>
    <s v="Weekend"/>
    <n v="10"/>
    <x v="2"/>
    <x v="0"/>
    <x v="2"/>
  </r>
  <r>
    <x v="168"/>
    <n v="27"/>
    <x v="0"/>
    <x v="7"/>
    <x v="9"/>
    <x v="7"/>
    <n v="1"/>
    <n v="8"/>
    <x v="2"/>
    <s v="Weekday"/>
    <n v="9"/>
    <x v="2"/>
    <x v="2"/>
    <x v="2"/>
  </r>
  <r>
    <x v="169"/>
    <n v="19"/>
    <x v="1"/>
    <x v="1"/>
    <x v="8"/>
    <x v="6"/>
    <n v="5"/>
    <n v="8"/>
    <x v="0"/>
    <s v="Weekday"/>
    <n v="9"/>
    <x v="1"/>
    <x v="1"/>
    <x v="2"/>
  </r>
  <r>
    <x v="170"/>
    <n v="37"/>
    <x v="1"/>
    <x v="5"/>
    <x v="18"/>
    <x v="0"/>
    <n v="5"/>
    <n v="3"/>
    <x v="1"/>
    <s v="Weekday"/>
    <n v="4"/>
    <x v="0"/>
    <x v="1"/>
    <x v="1"/>
  </r>
  <r>
    <x v="171"/>
    <n v="18"/>
    <x v="1"/>
    <x v="9"/>
    <x v="14"/>
    <x v="0"/>
    <n v="4"/>
    <n v="5"/>
    <x v="1"/>
    <s v="Weekday"/>
    <n v="9"/>
    <x v="1"/>
    <x v="0"/>
    <x v="1"/>
  </r>
  <r>
    <x v="172"/>
    <n v="19"/>
    <x v="0"/>
    <x v="7"/>
    <x v="7"/>
    <x v="5"/>
    <n v="1"/>
    <n v="3"/>
    <x v="1"/>
    <s v="Weekend"/>
    <n v="8"/>
    <x v="1"/>
    <x v="2"/>
    <x v="1"/>
  </r>
  <r>
    <x v="173"/>
    <n v="26"/>
    <x v="0"/>
    <x v="4"/>
    <x v="9"/>
    <x v="7"/>
    <n v="2"/>
    <n v="12"/>
    <x v="1"/>
    <s v="Weekday"/>
    <n v="6"/>
    <x v="2"/>
    <x v="2"/>
    <x v="0"/>
  </r>
  <r>
    <x v="174"/>
    <n v="31"/>
    <x v="0"/>
    <x v="7"/>
    <x v="12"/>
    <x v="5"/>
    <n v="2"/>
    <n v="12"/>
    <x v="0"/>
    <s v="Weekday"/>
    <n v="7"/>
    <x v="2"/>
    <x v="2"/>
    <x v="0"/>
  </r>
  <r>
    <x v="175"/>
    <n v="22"/>
    <x v="1"/>
    <x v="2"/>
    <x v="19"/>
    <x v="5"/>
    <n v="2"/>
    <n v="2"/>
    <x v="2"/>
    <s v="Weekday"/>
    <n v="9"/>
    <x v="1"/>
    <x v="2"/>
    <x v="1"/>
  </r>
  <r>
    <x v="176"/>
    <n v="33"/>
    <x v="1"/>
    <x v="5"/>
    <x v="22"/>
    <x v="9"/>
    <n v="3"/>
    <n v="1"/>
    <x v="2"/>
    <s v="Weekday"/>
    <n v="4"/>
    <x v="2"/>
    <x v="0"/>
    <x v="1"/>
  </r>
  <r>
    <x v="177"/>
    <n v="24"/>
    <x v="1"/>
    <x v="7"/>
    <x v="22"/>
    <x v="9"/>
    <n v="3"/>
    <n v="3"/>
    <x v="1"/>
    <s v="Weekday"/>
    <n v="1"/>
    <x v="1"/>
    <x v="0"/>
    <x v="1"/>
  </r>
  <r>
    <x v="178"/>
    <n v="23"/>
    <x v="1"/>
    <x v="3"/>
    <x v="6"/>
    <x v="3"/>
    <n v="2"/>
    <n v="2"/>
    <x v="2"/>
    <s v="Weekend"/>
    <n v="3"/>
    <x v="1"/>
    <x v="2"/>
    <x v="1"/>
  </r>
  <r>
    <x v="179"/>
    <n v="25"/>
    <x v="1"/>
    <x v="9"/>
    <x v="18"/>
    <x v="0"/>
    <n v="4"/>
    <n v="9"/>
    <x v="2"/>
    <s v="Weekday"/>
    <n v="9"/>
    <x v="1"/>
    <x v="0"/>
    <x v="2"/>
  </r>
  <r>
    <x v="180"/>
    <n v="18"/>
    <x v="0"/>
    <x v="6"/>
    <x v="22"/>
    <x v="9"/>
    <n v="4"/>
    <n v="7"/>
    <x v="0"/>
    <s v="Weekday"/>
    <n v="4"/>
    <x v="1"/>
    <x v="0"/>
    <x v="2"/>
  </r>
  <r>
    <x v="181"/>
    <n v="19"/>
    <x v="1"/>
    <x v="5"/>
    <x v="15"/>
    <x v="0"/>
    <n v="3"/>
    <n v="4"/>
    <x v="1"/>
    <s v="Weekday"/>
    <n v="9"/>
    <x v="1"/>
    <x v="0"/>
    <x v="1"/>
  </r>
  <r>
    <x v="182"/>
    <n v="49"/>
    <x v="1"/>
    <x v="1"/>
    <x v="5"/>
    <x v="3"/>
    <n v="2"/>
    <n v="15"/>
    <x v="2"/>
    <s v="Weekend"/>
    <n v="6"/>
    <x v="3"/>
    <x v="2"/>
    <x v="0"/>
  </r>
  <r>
    <x v="183"/>
    <n v="21"/>
    <x v="1"/>
    <x v="3"/>
    <x v="4"/>
    <x v="4"/>
    <n v="3"/>
    <n v="9"/>
    <x v="2"/>
    <s v="Weekend"/>
    <n v="8"/>
    <x v="1"/>
    <x v="0"/>
    <x v="2"/>
  </r>
  <r>
    <x v="184"/>
    <n v="24"/>
    <x v="1"/>
    <x v="2"/>
    <x v="18"/>
    <x v="0"/>
    <n v="3"/>
    <n v="13"/>
    <x v="1"/>
    <s v="Weekend"/>
    <n v="4"/>
    <x v="1"/>
    <x v="0"/>
    <x v="0"/>
  </r>
  <r>
    <x v="185"/>
    <n v="35"/>
    <x v="0"/>
    <x v="3"/>
    <x v="20"/>
    <x v="5"/>
    <n v="5"/>
    <n v="9"/>
    <x v="1"/>
    <s v="Weekend"/>
    <n v="9"/>
    <x v="2"/>
    <x v="1"/>
    <x v="2"/>
  </r>
  <r>
    <x v="186"/>
    <n v="25"/>
    <x v="1"/>
    <x v="4"/>
    <x v="13"/>
    <x v="3"/>
    <n v="2"/>
    <n v="10"/>
    <x v="2"/>
    <s v="Weekday"/>
    <n v="6"/>
    <x v="1"/>
    <x v="2"/>
    <x v="2"/>
  </r>
  <r>
    <x v="187"/>
    <n v="24"/>
    <x v="0"/>
    <x v="2"/>
    <x v="20"/>
    <x v="5"/>
    <n v="4"/>
    <n v="8"/>
    <x v="2"/>
    <s v="Weekday"/>
    <n v="9"/>
    <x v="1"/>
    <x v="0"/>
    <x v="2"/>
  </r>
  <r>
    <x v="188"/>
    <n v="27"/>
    <x v="0"/>
    <x v="7"/>
    <x v="16"/>
    <x v="3"/>
    <n v="5"/>
    <n v="2"/>
    <x v="0"/>
    <s v="Weekday"/>
    <n v="5"/>
    <x v="2"/>
    <x v="1"/>
    <x v="1"/>
  </r>
  <r>
    <x v="189"/>
    <n v="20"/>
    <x v="1"/>
    <x v="2"/>
    <x v="2"/>
    <x v="2"/>
    <n v="1"/>
    <n v="10"/>
    <x v="1"/>
    <s v="Weekend"/>
    <n v="10"/>
    <x v="1"/>
    <x v="2"/>
    <x v="2"/>
  </r>
  <r>
    <x v="190"/>
    <n v="28"/>
    <x v="0"/>
    <x v="2"/>
    <x v="12"/>
    <x v="5"/>
    <n v="4"/>
    <n v="10"/>
    <x v="2"/>
    <s v="Weekend"/>
    <n v="9"/>
    <x v="2"/>
    <x v="0"/>
    <x v="2"/>
  </r>
  <r>
    <x v="191"/>
    <n v="57"/>
    <x v="1"/>
    <x v="6"/>
    <x v="3"/>
    <x v="3"/>
    <n v="1"/>
    <n v="9"/>
    <x v="1"/>
    <s v="Weekend"/>
    <n v="5"/>
    <x v="3"/>
    <x v="2"/>
    <x v="2"/>
  </r>
  <r>
    <x v="192"/>
    <n v="18"/>
    <x v="0"/>
    <x v="3"/>
    <x v="10"/>
    <x v="6"/>
    <n v="4"/>
    <n v="13"/>
    <x v="2"/>
    <s v="Weekend"/>
    <n v="10"/>
    <x v="1"/>
    <x v="0"/>
    <x v="0"/>
  </r>
  <r>
    <x v="193"/>
    <n v="39"/>
    <x v="1"/>
    <x v="1"/>
    <x v="3"/>
    <x v="3"/>
    <n v="2"/>
    <n v="8"/>
    <x v="0"/>
    <s v="Weekday"/>
    <n v="6"/>
    <x v="0"/>
    <x v="2"/>
    <x v="2"/>
  </r>
  <r>
    <x v="194"/>
    <n v="20"/>
    <x v="0"/>
    <x v="2"/>
    <x v="19"/>
    <x v="5"/>
    <n v="3"/>
    <n v="3"/>
    <x v="2"/>
    <s v="Weekend"/>
    <n v="8"/>
    <x v="1"/>
    <x v="0"/>
    <x v="1"/>
  </r>
  <r>
    <x v="195"/>
    <n v="23"/>
    <x v="1"/>
    <x v="7"/>
    <x v="14"/>
    <x v="0"/>
    <n v="3"/>
    <n v="10"/>
    <x v="2"/>
    <s v="Weekday"/>
    <n v="9"/>
    <x v="1"/>
    <x v="0"/>
    <x v="2"/>
  </r>
  <r>
    <x v="196"/>
    <n v="19"/>
    <x v="1"/>
    <x v="6"/>
    <x v="20"/>
    <x v="5"/>
    <n v="5"/>
    <n v="4"/>
    <x v="0"/>
    <s v="Weekday"/>
    <n v="8"/>
    <x v="1"/>
    <x v="1"/>
    <x v="1"/>
  </r>
  <r>
    <x v="197"/>
    <n v="23"/>
    <x v="1"/>
    <x v="3"/>
    <x v="7"/>
    <x v="5"/>
    <n v="2"/>
    <n v="10"/>
    <x v="2"/>
    <s v="Weekend"/>
    <n v="8"/>
    <x v="1"/>
    <x v="2"/>
    <x v="2"/>
  </r>
  <r>
    <x v="198"/>
    <n v="18"/>
    <x v="0"/>
    <x v="9"/>
    <x v="19"/>
    <x v="5"/>
    <n v="4"/>
    <n v="9"/>
    <x v="0"/>
    <s v="Weekend"/>
    <n v="7"/>
    <x v="1"/>
    <x v="0"/>
    <x v="2"/>
  </r>
  <r>
    <x v="199"/>
    <n v="19"/>
    <x v="1"/>
    <x v="5"/>
    <x v="18"/>
    <x v="0"/>
    <n v="4"/>
    <n v="8"/>
    <x v="1"/>
    <s v="Weekend"/>
    <n v="9"/>
    <x v="1"/>
    <x v="0"/>
    <x v="2"/>
  </r>
  <r>
    <x v="200"/>
    <n v="20"/>
    <x v="0"/>
    <x v="8"/>
    <x v="10"/>
    <x v="6"/>
    <n v="2"/>
    <n v="6"/>
    <x v="1"/>
    <s v="Weekday"/>
    <n v="9"/>
    <x v="1"/>
    <x v="2"/>
    <x v="2"/>
  </r>
  <r>
    <x v="201"/>
    <n v="24"/>
    <x v="1"/>
    <x v="6"/>
    <x v="14"/>
    <x v="0"/>
    <n v="4"/>
    <n v="12"/>
    <x v="2"/>
    <s v="Weekday"/>
    <n v="9"/>
    <x v="1"/>
    <x v="0"/>
    <x v="0"/>
  </r>
  <r>
    <x v="202"/>
    <n v="37"/>
    <x v="1"/>
    <x v="7"/>
    <x v="22"/>
    <x v="9"/>
    <n v="1"/>
    <n v="4"/>
    <x v="0"/>
    <s v="Weekend"/>
    <n v="9"/>
    <x v="0"/>
    <x v="2"/>
    <x v="1"/>
  </r>
  <r>
    <x v="203"/>
    <n v="25"/>
    <x v="1"/>
    <x v="0"/>
    <x v="24"/>
    <x v="11"/>
    <n v="3"/>
    <n v="6"/>
    <x v="2"/>
    <s v="Weekend"/>
    <n v="10"/>
    <x v="1"/>
    <x v="0"/>
    <x v="2"/>
  </r>
  <r>
    <x v="204"/>
    <n v="29"/>
    <x v="0"/>
    <x v="6"/>
    <x v="18"/>
    <x v="0"/>
    <n v="4"/>
    <n v="5"/>
    <x v="2"/>
    <s v="Weekend"/>
    <n v="10"/>
    <x v="2"/>
    <x v="0"/>
    <x v="1"/>
  </r>
  <r>
    <x v="205"/>
    <n v="25"/>
    <x v="1"/>
    <x v="4"/>
    <x v="12"/>
    <x v="5"/>
    <n v="1"/>
    <n v="10"/>
    <x v="0"/>
    <s v="Weekend"/>
    <n v="10"/>
    <x v="1"/>
    <x v="2"/>
    <x v="2"/>
  </r>
  <r>
    <x v="206"/>
    <n v="19"/>
    <x v="1"/>
    <x v="0"/>
    <x v="11"/>
    <x v="5"/>
    <n v="5"/>
    <n v="10"/>
    <x v="2"/>
    <s v="Weekend"/>
    <n v="10"/>
    <x v="1"/>
    <x v="1"/>
    <x v="2"/>
  </r>
  <r>
    <x v="207"/>
    <n v="27"/>
    <x v="1"/>
    <x v="8"/>
    <x v="24"/>
    <x v="11"/>
    <n v="1"/>
    <n v="15"/>
    <x v="0"/>
    <s v="Weekend"/>
    <n v="8"/>
    <x v="2"/>
    <x v="2"/>
    <x v="0"/>
  </r>
  <r>
    <x v="208"/>
    <n v="29"/>
    <x v="1"/>
    <x v="5"/>
    <x v="17"/>
    <x v="6"/>
    <n v="4"/>
    <n v="3"/>
    <x v="0"/>
    <s v="Weekday"/>
    <n v="9"/>
    <x v="2"/>
    <x v="0"/>
    <x v="1"/>
  </r>
  <r>
    <x v="209"/>
    <n v="46"/>
    <x v="0"/>
    <x v="3"/>
    <x v="8"/>
    <x v="6"/>
    <n v="1"/>
    <n v="13"/>
    <x v="1"/>
    <s v="Weekday"/>
    <n v="9"/>
    <x v="3"/>
    <x v="2"/>
    <x v="0"/>
  </r>
  <r>
    <x v="210"/>
    <n v="42"/>
    <x v="1"/>
    <x v="5"/>
    <x v="23"/>
    <x v="10"/>
    <n v="3"/>
    <n v="8"/>
    <x v="1"/>
    <s v="Weekday"/>
    <n v="5"/>
    <x v="0"/>
    <x v="0"/>
    <x v="2"/>
  </r>
  <r>
    <x v="211"/>
    <n v="22"/>
    <x v="0"/>
    <x v="9"/>
    <x v="16"/>
    <x v="3"/>
    <n v="5"/>
    <n v="4"/>
    <x v="2"/>
    <s v="Weekday"/>
    <n v="7"/>
    <x v="1"/>
    <x v="1"/>
    <x v="1"/>
  </r>
  <r>
    <x v="212"/>
    <n v="28"/>
    <x v="0"/>
    <x v="1"/>
    <x v="21"/>
    <x v="8"/>
    <n v="3"/>
    <n v="14"/>
    <x v="1"/>
    <s v="Weekday"/>
    <n v="1"/>
    <x v="2"/>
    <x v="0"/>
    <x v="0"/>
  </r>
  <r>
    <x v="213"/>
    <n v="34"/>
    <x v="1"/>
    <x v="2"/>
    <x v="1"/>
    <x v="1"/>
    <n v="3"/>
    <n v="8"/>
    <x v="1"/>
    <s v="Weekday"/>
    <n v="2"/>
    <x v="2"/>
    <x v="0"/>
    <x v="2"/>
  </r>
  <r>
    <x v="214"/>
    <n v="18"/>
    <x v="1"/>
    <x v="4"/>
    <x v="18"/>
    <x v="0"/>
    <n v="1"/>
    <n v="6"/>
    <x v="2"/>
    <s v="Weekend"/>
    <n v="9"/>
    <x v="1"/>
    <x v="2"/>
    <x v="2"/>
  </r>
  <r>
    <x v="215"/>
    <n v="37"/>
    <x v="0"/>
    <x v="4"/>
    <x v="12"/>
    <x v="5"/>
    <n v="2"/>
    <n v="5"/>
    <x v="0"/>
    <s v="Weekday"/>
    <n v="9"/>
    <x v="0"/>
    <x v="2"/>
    <x v="1"/>
  </r>
  <r>
    <x v="216"/>
    <n v="23"/>
    <x v="0"/>
    <x v="5"/>
    <x v="4"/>
    <x v="4"/>
    <n v="4"/>
    <n v="15"/>
    <x v="1"/>
    <s v="Weekday"/>
    <n v="9"/>
    <x v="1"/>
    <x v="0"/>
    <x v="0"/>
  </r>
  <r>
    <x v="217"/>
    <n v="18"/>
    <x v="1"/>
    <x v="8"/>
    <x v="1"/>
    <x v="1"/>
    <n v="1"/>
    <n v="8"/>
    <x v="0"/>
    <s v="Weekend"/>
    <n v="1"/>
    <x v="1"/>
    <x v="2"/>
    <x v="2"/>
  </r>
  <r>
    <x v="218"/>
    <n v="59"/>
    <x v="0"/>
    <x v="3"/>
    <x v="7"/>
    <x v="5"/>
    <n v="1"/>
    <n v="14"/>
    <x v="1"/>
    <s v="Weekday"/>
    <n v="9"/>
    <x v="3"/>
    <x v="2"/>
    <x v="0"/>
  </r>
  <r>
    <x v="219"/>
    <n v="32"/>
    <x v="1"/>
    <x v="7"/>
    <x v="17"/>
    <x v="6"/>
    <n v="4"/>
    <n v="15"/>
    <x v="1"/>
    <s v="Weekend"/>
    <n v="9"/>
    <x v="2"/>
    <x v="0"/>
    <x v="0"/>
  </r>
  <r>
    <x v="220"/>
    <n v="29"/>
    <x v="1"/>
    <x v="3"/>
    <x v="18"/>
    <x v="0"/>
    <n v="2"/>
    <n v="1"/>
    <x v="2"/>
    <s v="Weekend"/>
    <n v="9"/>
    <x v="2"/>
    <x v="2"/>
    <x v="1"/>
  </r>
  <r>
    <x v="221"/>
    <n v="20"/>
    <x v="0"/>
    <x v="5"/>
    <x v="14"/>
    <x v="0"/>
    <n v="2"/>
    <n v="15"/>
    <x v="1"/>
    <s v="Weekday"/>
    <n v="9"/>
    <x v="1"/>
    <x v="2"/>
    <x v="0"/>
  </r>
  <r>
    <x v="222"/>
    <n v="40"/>
    <x v="1"/>
    <x v="2"/>
    <x v="0"/>
    <x v="0"/>
    <n v="4"/>
    <n v="5"/>
    <x v="1"/>
    <s v="Weekend"/>
    <n v="9"/>
    <x v="0"/>
    <x v="0"/>
    <x v="1"/>
  </r>
  <r>
    <x v="223"/>
    <n v="21"/>
    <x v="1"/>
    <x v="7"/>
    <x v="1"/>
    <x v="1"/>
    <n v="4"/>
    <n v="5"/>
    <x v="0"/>
    <s v="Weekend"/>
    <n v="10"/>
    <x v="1"/>
    <x v="0"/>
    <x v="1"/>
  </r>
  <r>
    <x v="224"/>
    <n v="23"/>
    <x v="1"/>
    <x v="4"/>
    <x v="21"/>
    <x v="8"/>
    <n v="5"/>
    <n v="3"/>
    <x v="1"/>
    <s v="Weekday"/>
    <n v="6"/>
    <x v="1"/>
    <x v="1"/>
    <x v="1"/>
  </r>
  <r>
    <x v="225"/>
    <n v="25"/>
    <x v="1"/>
    <x v="4"/>
    <x v="20"/>
    <x v="5"/>
    <n v="3"/>
    <n v="8"/>
    <x v="2"/>
    <s v="Weekend"/>
    <n v="9"/>
    <x v="1"/>
    <x v="0"/>
    <x v="2"/>
  </r>
  <r>
    <x v="226"/>
    <n v="23"/>
    <x v="1"/>
    <x v="2"/>
    <x v="16"/>
    <x v="3"/>
    <n v="4"/>
    <n v="8"/>
    <x v="2"/>
    <s v="Weekday"/>
    <n v="6"/>
    <x v="1"/>
    <x v="0"/>
    <x v="2"/>
  </r>
  <r>
    <x v="227"/>
    <n v="19"/>
    <x v="0"/>
    <x v="1"/>
    <x v="21"/>
    <x v="8"/>
    <n v="5"/>
    <n v="3"/>
    <x v="0"/>
    <s v="Weekday"/>
    <n v="2"/>
    <x v="1"/>
    <x v="1"/>
    <x v="1"/>
  </r>
  <r>
    <x v="228"/>
    <n v="60"/>
    <x v="1"/>
    <x v="0"/>
    <x v="11"/>
    <x v="5"/>
    <n v="1"/>
    <n v="8"/>
    <x v="1"/>
    <s v="Weekday"/>
    <n v="9"/>
    <x v="3"/>
    <x v="2"/>
    <x v="2"/>
  </r>
  <r>
    <x v="229"/>
    <n v="21"/>
    <x v="1"/>
    <x v="4"/>
    <x v="17"/>
    <x v="6"/>
    <n v="4"/>
    <n v="1"/>
    <x v="1"/>
    <s v="Weekday"/>
    <n v="10"/>
    <x v="1"/>
    <x v="0"/>
    <x v="1"/>
  </r>
  <r>
    <x v="230"/>
    <n v="32"/>
    <x v="1"/>
    <x v="1"/>
    <x v="12"/>
    <x v="5"/>
    <n v="5"/>
    <n v="15"/>
    <x v="1"/>
    <s v="Weekday"/>
    <n v="8"/>
    <x v="2"/>
    <x v="1"/>
    <x v="0"/>
  </r>
  <r>
    <x v="231"/>
    <n v="19"/>
    <x v="1"/>
    <x v="6"/>
    <x v="1"/>
    <x v="1"/>
    <n v="3"/>
    <n v="10"/>
    <x v="2"/>
    <s v="Weekend"/>
    <n v="7"/>
    <x v="1"/>
    <x v="0"/>
    <x v="2"/>
  </r>
  <r>
    <x v="232"/>
    <n v="21"/>
    <x v="0"/>
    <x v="4"/>
    <x v="8"/>
    <x v="6"/>
    <n v="5"/>
    <n v="10"/>
    <x v="1"/>
    <s v="Weekend"/>
    <n v="9"/>
    <x v="1"/>
    <x v="1"/>
    <x v="2"/>
  </r>
  <r>
    <x v="233"/>
    <n v="29"/>
    <x v="1"/>
    <x v="1"/>
    <x v="17"/>
    <x v="6"/>
    <n v="3"/>
    <n v="13"/>
    <x v="2"/>
    <s v="Weekend"/>
    <n v="9"/>
    <x v="2"/>
    <x v="0"/>
    <x v="0"/>
  </r>
  <r>
    <x v="234"/>
    <n v="18"/>
    <x v="1"/>
    <x v="3"/>
    <x v="14"/>
    <x v="0"/>
    <n v="5"/>
    <n v="13"/>
    <x v="0"/>
    <s v="Weekend"/>
    <n v="9"/>
    <x v="1"/>
    <x v="1"/>
    <x v="0"/>
  </r>
  <r>
    <x v="235"/>
    <n v="18"/>
    <x v="0"/>
    <x v="1"/>
    <x v="16"/>
    <x v="3"/>
    <n v="5"/>
    <n v="2"/>
    <x v="1"/>
    <s v="Weekday"/>
    <n v="7"/>
    <x v="1"/>
    <x v="1"/>
    <x v="1"/>
  </r>
  <r>
    <x v="236"/>
    <n v="21"/>
    <x v="1"/>
    <x v="3"/>
    <x v="9"/>
    <x v="7"/>
    <n v="1"/>
    <n v="12"/>
    <x v="0"/>
    <s v="Weekday"/>
    <n v="4"/>
    <x v="1"/>
    <x v="2"/>
    <x v="0"/>
  </r>
  <r>
    <x v="237"/>
    <n v="30"/>
    <x v="1"/>
    <x v="3"/>
    <x v="23"/>
    <x v="10"/>
    <n v="4"/>
    <n v="14"/>
    <x v="2"/>
    <s v="Weekday"/>
    <n v="8"/>
    <x v="2"/>
    <x v="0"/>
    <x v="0"/>
  </r>
  <r>
    <x v="238"/>
    <n v="24"/>
    <x v="0"/>
    <x v="8"/>
    <x v="2"/>
    <x v="2"/>
    <n v="1"/>
    <n v="6"/>
    <x v="2"/>
    <s v="Weekday"/>
    <n v="3"/>
    <x v="1"/>
    <x v="2"/>
    <x v="2"/>
  </r>
  <r>
    <x v="239"/>
    <n v="23"/>
    <x v="0"/>
    <x v="0"/>
    <x v="2"/>
    <x v="2"/>
    <n v="1"/>
    <n v="14"/>
    <x v="0"/>
    <s v="Weekday"/>
    <n v="10"/>
    <x v="1"/>
    <x v="2"/>
    <x v="0"/>
  </r>
  <r>
    <x v="240"/>
    <n v="20"/>
    <x v="1"/>
    <x v="9"/>
    <x v="16"/>
    <x v="3"/>
    <n v="1"/>
    <n v="7"/>
    <x v="2"/>
    <s v="Weekday"/>
    <n v="5"/>
    <x v="1"/>
    <x v="2"/>
    <x v="2"/>
  </r>
  <r>
    <x v="241"/>
    <n v="22"/>
    <x v="0"/>
    <x v="9"/>
    <x v="1"/>
    <x v="1"/>
    <n v="1"/>
    <n v="1"/>
    <x v="1"/>
    <s v="Weekend"/>
    <n v="8"/>
    <x v="1"/>
    <x v="2"/>
    <x v="1"/>
  </r>
  <r>
    <x v="242"/>
    <n v="34"/>
    <x v="0"/>
    <x v="8"/>
    <x v="8"/>
    <x v="6"/>
    <n v="5"/>
    <n v="10"/>
    <x v="0"/>
    <s v="Weekday"/>
    <n v="9"/>
    <x v="2"/>
    <x v="1"/>
    <x v="2"/>
  </r>
  <r>
    <x v="243"/>
    <n v="18"/>
    <x v="1"/>
    <x v="7"/>
    <x v="10"/>
    <x v="6"/>
    <n v="5"/>
    <n v="2"/>
    <x v="0"/>
    <s v="Weekday"/>
    <n v="10"/>
    <x v="1"/>
    <x v="1"/>
    <x v="1"/>
  </r>
  <r>
    <x v="244"/>
    <n v="39"/>
    <x v="0"/>
    <x v="1"/>
    <x v="8"/>
    <x v="6"/>
    <n v="5"/>
    <n v="10"/>
    <x v="1"/>
    <s v="Weekday"/>
    <n v="2"/>
    <x v="0"/>
    <x v="1"/>
    <x v="2"/>
  </r>
  <r>
    <x v="245"/>
    <n v="18"/>
    <x v="0"/>
    <x v="3"/>
    <x v="7"/>
    <x v="5"/>
    <n v="3"/>
    <n v="12"/>
    <x v="0"/>
    <s v="Weekday"/>
    <n v="9"/>
    <x v="1"/>
    <x v="0"/>
    <x v="0"/>
  </r>
  <r>
    <x v="246"/>
    <n v="25"/>
    <x v="0"/>
    <x v="2"/>
    <x v="4"/>
    <x v="4"/>
    <n v="3"/>
    <n v="3"/>
    <x v="0"/>
    <s v="Weekday"/>
    <n v="6"/>
    <x v="1"/>
    <x v="0"/>
    <x v="1"/>
  </r>
  <r>
    <x v="247"/>
    <n v="40"/>
    <x v="0"/>
    <x v="9"/>
    <x v="1"/>
    <x v="1"/>
    <n v="2"/>
    <n v="14"/>
    <x v="0"/>
    <s v="Weekday"/>
    <n v="2"/>
    <x v="0"/>
    <x v="2"/>
    <x v="0"/>
  </r>
  <r>
    <x v="248"/>
    <n v="24"/>
    <x v="1"/>
    <x v="4"/>
    <x v="18"/>
    <x v="0"/>
    <n v="2"/>
    <n v="8"/>
    <x v="0"/>
    <s v="Weekday"/>
    <n v="9"/>
    <x v="1"/>
    <x v="2"/>
    <x v="2"/>
  </r>
  <r>
    <x v="249"/>
    <n v="38"/>
    <x v="1"/>
    <x v="0"/>
    <x v="20"/>
    <x v="5"/>
    <n v="2"/>
    <n v="9"/>
    <x v="0"/>
    <s v="Weekend"/>
    <n v="9"/>
    <x v="0"/>
    <x v="2"/>
    <x v="2"/>
  </r>
  <r>
    <x v="250"/>
    <n v="20"/>
    <x v="1"/>
    <x v="4"/>
    <x v="10"/>
    <x v="6"/>
    <n v="4"/>
    <n v="10"/>
    <x v="0"/>
    <s v="Weekday"/>
    <n v="9"/>
    <x v="1"/>
    <x v="0"/>
    <x v="2"/>
  </r>
  <r>
    <x v="251"/>
    <n v="20"/>
    <x v="1"/>
    <x v="8"/>
    <x v="14"/>
    <x v="0"/>
    <n v="1"/>
    <n v="3"/>
    <x v="2"/>
    <s v="Weekday"/>
    <n v="9"/>
    <x v="1"/>
    <x v="2"/>
    <x v="1"/>
  </r>
  <r>
    <x v="252"/>
    <n v="22"/>
    <x v="1"/>
    <x v="8"/>
    <x v="12"/>
    <x v="5"/>
    <n v="4"/>
    <n v="10"/>
    <x v="1"/>
    <s v="Weekday"/>
    <n v="9"/>
    <x v="1"/>
    <x v="0"/>
    <x v="2"/>
  </r>
  <r>
    <x v="253"/>
    <n v="18"/>
    <x v="1"/>
    <x v="3"/>
    <x v="7"/>
    <x v="5"/>
    <n v="3"/>
    <n v="7"/>
    <x v="1"/>
    <s v="Weekday"/>
    <n v="9"/>
    <x v="1"/>
    <x v="0"/>
    <x v="2"/>
  </r>
  <r>
    <x v="254"/>
    <n v="23"/>
    <x v="0"/>
    <x v="7"/>
    <x v="24"/>
    <x v="11"/>
    <n v="2"/>
    <n v="12"/>
    <x v="1"/>
    <s v="Weekend"/>
    <n v="8"/>
    <x v="1"/>
    <x v="2"/>
    <x v="0"/>
  </r>
  <r>
    <x v="255"/>
    <n v="36"/>
    <x v="1"/>
    <x v="0"/>
    <x v="18"/>
    <x v="0"/>
    <n v="1"/>
    <n v="2"/>
    <x v="1"/>
    <s v="Weekend"/>
    <n v="9"/>
    <x v="0"/>
    <x v="2"/>
    <x v="1"/>
  </r>
  <r>
    <x v="256"/>
    <n v="19"/>
    <x v="1"/>
    <x v="1"/>
    <x v="2"/>
    <x v="2"/>
    <n v="1"/>
    <n v="12"/>
    <x v="2"/>
    <s v="Weekday"/>
    <n v="7"/>
    <x v="1"/>
    <x v="2"/>
    <x v="0"/>
  </r>
  <r>
    <x v="257"/>
    <n v="24"/>
    <x v="1"/>
    <x v="4"/>
    <x v="1"/>
    <x v="1"/>
    <n v="3"/>
    <n v="5"/>
    <x v="2"/>
    <s v="Weekend"/>
    <n v="10"/>
    <x v="1"/>
    <x v="0"/>
    <x v="1"/>
  </r>
  <r>
    <x v="258"/>
    <n v="26"/>
    <x v="0"/>
    <x v="7"/>
    <x v="0"/>
    <x v="0"/>
    <n v="5"/>
    <n v="6"/>
    <x v="2"/>
    <s v="Weekday"/>
    <n v="9"/>
    <x v="2"/>
    <x v="1"/>
    <x v="2"/>
  </r>
  <r>
    <x v="259"/>
    <n v="21"/>
    <x v="1"/>
    <x v="3"/>
    <x v="22"/>
    <x v="9"/>
    <n v="3"/>
    <n v="10"/>
    <x v="2"/>
    <s v="Weekday"/>
    <n v="3"/>
    <x v="1"/>
    <x v="0"/>
    <x v="2"/>
  </r>
  <r>
    <x v="260"/>
    <n v="35"/>
    <x v="0"/>
    <x v="1"/>
    <x v="24"/>
    <x v="11"/>
    <n v="5"/>
    <n v="15"/>
    <x v="2"/>
    <s v="Weekend"/>
    <n v="1"/>
    <x v="2"/>
    <x v="1"/>
    <x v="0"/>
  </r>
  <r>
    <x v="261"/>
    <n v="25"/>
    <x v="0"/>
    <x v="0"/>
    <x v="9"/>
    <x v="7"/>
    <n v="1"/>
    <n v="6"/>
    <x v="0"/>
    <s v="Weekend"/>
    <n v="4"/>
    <x v="1"/>
    <x v="2"/>
    <x v="2"/>
  </r>
  <r>
    <x v="262"/>
    <n v="18"/>
    <x v="0"/>
    <x v="5"/>
    <x v="10"/>
    <x v="6"/>
    <n v="2"/>
    <n v="12"/>
    <x v="1"/>
    <s v="Weekend"/>
    <n v="9"/>
    <x v="1"/>
    <x v="2"/>
    <x v="0"/>
  </r>
  <r>
    <x v="263"/>
    <n v="26"/>
    <x v="1"/>
    <x v="0"/>
    <x v="5"/>
    <x v="3"/>
    <n v="1"/>
    <n v="10"/>
    <x v="1"/>
    <s v="Weekday"/>
    <n v="2"/>
    <x v="2"/>
    <x v="2"/>
    <x v="2"/>
  </r>
  <r>
    <x v="264"/>
    <n v="25"/>
    <x v="0"/>
    <x v="4"/>
    <x v="14"/>
    <x v="0"/>
    <n v="4"/>
    <n v="9"/>
    <x v="0"/>
    <s v="Weekday"/>
    <n v="9"/>
    <x v="1"/>
    <x v="0"/>
    <x v="2"/>
  </r>
  <r>
    <x v="265"/>
    <n v="23"/>
    <x v="1"/>
    <x v="8"/>
    <x v="5"/>
    <x v="3"/>
    <n v="5"/>
    <n v="1"/>
    <x v="1"/>
    <s v="Weekday"/>
    <n v="10"/>
    <x v="1"/>
    <x v="1"/>
    <x v="1"/>
  </r>
  <r>
    <x v="266"/>
    <n v="27"/>
    <x v="0"/>
    <x v="2"/>
    <x v="13"/>
    <x v="3"/>
    <n v="2"/>
    <n v="7"/>
    <x v="2"/>
    <s v="Weekend"/>
    <n v="6"/>
    <x v="2"/>
    <x v="2"/>
    <x v="2"/>
  </r>
  <r>
    <x v="267"/>
    <n v="19"/>
    <x v="0"/>
    <x v="8"/>
    <x v="6"/>
    <x v="3"/>
    <n v="4"/>
    <n v="3"/>
    <x v="2"/>
    <s v="Weekend"/>
    <n v="10"/>
    <x v="1"/>
    <x v="0"/>
    <x v="1"/>
  </r>
  <r>
    <x v="268"/>
    <n v="19"/>
    <x v="0"/>
    <x v="6"/>
    <x v="0"/>
    <x v="0"/>
    <n v="2"/>
    <n v="14"/>
    <x v="0"/>
    <s v="Weekend"/>
    <n v="1"/>
    <x v="1"/>
    <x v="2"/>
    <x v="0"/>
  </r>
  <r>
    <x v="269"/>
    <n v="23"/>
    <x v="1"/>
    <x v="8"/>
    <x v="7"/>
    <x v="5"/>
    <n v="1"/>
    <n v="1"/>
    <x v="2"/>
    <s v="Weekday"/>
    <n v="10"/>
    <x v="1"/>
    <x v="2"/>
    <x v="1"/>
  </r>
  <r>
    <x v="270"/>
    <n v="20"/>
    <x v="0"/>
    <x v="7"/>
    <x v="16"/>
    <x v="3"/>
    <n v="4"/>
    <n v="11"/>
    <x v="1"/>
    <s v="Weekday"/>
    <n v="2"/>
    <x v="1"/>
    <x v="0"/>
    <x v="0"/>
  </r>
  <r>
    <x v="271"/>
    <n v="22"/>
    <x v="1"/>
    <x v="5"/>
    <x v="13"/>
    <x v="3"/>
    <n v="3"/>
    <n v="8"/>
    <x v="0"/>
    <s v="Weekday"/>
    <n v="7"/>
    <x v="1"/>
    <x v="0"/>
    <x v="2"/>
  </r>
  <r>
    <x v="272"/>
    <n v="25"/>
    <x v="1"/>
    <x v="7"/>
    <x v="3"/>
    <x v="3"/>
    <n v="2"/>
    <n v="12"/>
    <x v="0"/>
    <s v="Weekday"/>
    <n v="9"/>
    <x v="1"/>
    <x v="2"/>
    <x v="0"/>
  </r>
  <r>
    <x v="273"/>
    <n v="24"/>
    <x v="1"/>
    <x v="3"/>
    <x v="20"/>
    <x v="5"/>
    <n v="1"/>
    <n v="5"/>
    <x v="0"/>
    <s v="Weekday"/>
    <n v="10"/>
    <x v="1"/>
    <x v="2"/>
    <x v="1"/>
  </r>
  <r>
    <x v="274"/>
    <n v="35"/>
    <x v="0"/>
    <x v="5"/>
    <x v="0"/>
    <x v="0"/>
    <n v="4"/>
    <n v="1"/>
    <x v="0"/>
    <s v="Weekend"/>
    <n v="9"/>
    <x v="2"/>
    <x v="0"/>
    <x v="1"/>
  </r>
  <r>
    <x v="275"/>
    <n v="30"/>
    <x v="1"/>
    <x v="9"/>
    <x v="14"/>
    <x v="0"/>
    <n v="4"/>
    <n v="3"/>
    <x v="2"/>
    <s v="Weekday"/>
    <n v="9"/>
    <x v="2"/>
    <x v="0"/>
    <x v="1"/>
  </r>
  <r>
    <x v="276"/>
    <n v="22"/>
    <x v="0"/>
    <x v="1"/>
    <x v="4"/>
    <x v="4"/>
    <n v="3"/>
    <n v="10"/>
    <x v="2"/>
    <s v="Weekend"/>
    <n v="9"/>
    <x v="1"/>
    <x v="0"/>
    <x v="2"/>
  </r>
  <r>
    <x v="277"/>
    <n v="19"/>
    <x v="0"/>
    <x v="3"/>
    <x v="0"/>
    <x v="0"/>
    <n v="2"/>
    <n v="11"/>
    <x v="2"/>
    <s v="Weekday"/>
    <n v="9"/>
    <x v="1"/>
    <x v="2"/>
    <x v="0"/>
  </r>
  <r>
    <x v="278"/>
    <n v="24"/>
    <x v="1"/>
    <x v="1"/>
    <x v="2"/>
    <x v="2"/>
    <n v="5"/>
    <n v="11"/>
    <x v="0"/>
    <s v="Weekend"/>
    <n v="7"/>
    <x v="1"/>
    <x v="1"/>
    <x v="0"/>
  </r>
  <r>
    <x v="279"/>
    <n v="36"/>
    <x v="0"/>
    <x v="5"/>
    <x v="19"/>
    <x v="5"/>
    <n v="5"/>
    <n v="3"/>
    <x v="1"/>
    <s v="Weekend"/>
    <n v="10"/>
    <x v="0"/>
    <x v="1"/>
    <x v="1"/>
  </r>
  <r>
    <x v="280"/>
    <n v="25"/>
    <x v="1"/>
    <x v="4"/>
    <x v="7"/>
    <x v="5"/>
    <n v="2"/>
    <n v="3"/>
    <x v="0"/>
    <s v="Weekend"/>
    <n v="10"/>
    <x v="1"/>
    <x v="2"/>
    <x v="1"/>
  </r>
  <r>
    <x v="281"/>
    <n v="20"/>
    <x v="0"/>
    <x v="3"/>
    <x v="17"/>
    <x v="6"/>
    <n v="1"/>
    <n v="14"/>
    <x v="1"/>
    <s v="Weekend"/>
    <n v="9"/>
    <x v="1"/>
    <x v="2"/>
    <x v="0"/>
  </r>
  <r>
    <x v="282"/>
    <n v="20"/>
    <x v="0"/>
    <x v="8"/>
    <x v="14"/>
    <x v="0"/>
    <n v="4"/>
    <n v="4"/>
    <x v="1"/>
    <s v="Weekend"/>
    <n v="8"/>
    <x v="1"/>
    <x v="0"/>
    <x v="1"/>
  </r>
  <r>
    <x v="283"/>
    <n v="50"/>
    <x v="1"/>
    <x v="0"/>
    <x v="16"/>
    <x v="3"/>
    <n v="2"/>
    <n v="4"/>
    <x v="2"/>
    <s v="Weekday"/>
    <n v="9"/>
    <x v="3"/>
    <x v="2"/>
    <x v="1"/>
  </r>
  <r>
    <x v="284"/>
    <n v="39"/>
    <x v="0"/>
    <x v="4"/>
    <x v="7"/>
    <x v="5"/>
    <n v="5"/>
    <n v="4"/>
    <x v="2"/>
    <s v="Weekend"/>
    <n v="10"/>
    <x v="0"/>
    <x v="1"/>
    <x v="1"/>
  </r>
  <r>
    <x v="285"/>
    <n v="21"/>
    <x v="1"/>
    <x v="5"/>
    <x v="0"/>
    <x v="0"/>
    <n v="1"/>
    <n v="10"/>
    <x v="0"/>
    <s v="Weekday"/>
    <n v="9"/>
    <x v="1"/>
    <x v="2"/>
    <x v="2"/>
  </r>
  <r>
    <x v="286"/>
    <n v="52"/>
    <x v="1"/>
    <x v="3"/>
    <x v="20"/>
    <x v="5"/>
    <n v="5"/>
    <n v="6"/>
    <x v="2"/>
    <s v="Weekday"/>
    <n v="10"/>
    <x v="3"/>
    <x v="1"/>
    <x v="2"/>
  </r>
  <r>
    <x v="287"/>
    <n v="39"/>
    <x v="0"/>
    <x v="0"/>
    <x v="4"/>
    <x v="4"/>
    <n v="2"/>
    <n v="3"/>
    <x v="0"/>
    <s v="Weekday"/>
    <n v="7"/>
    <x v="0"/>
    <x v="2"/>
    <x v="1"/>
  </r>
  <r>
    <x v="288"/>
    <n v="37"/>
    <x v="0"/>
    <x v="6"/>
    <x v="19"/>
    <x v="5"/>
    <n v="3"/>
    <n v="10"/>
    <x v="2"/>
    <s v="Weekday"/>
    <n v="9"/>
    <x v="0"/>
    <x v="0"/>
    <x v="2"/>
  </r>
  <r>
    <x v="289"/>
    <n v="29"/>
    <x v="0"/>
    <x v="6"/>
    <x v="8"/>
    <x v="6"/>
    <n v="2"/>
    <n v="2"/>
    <x v="1"/>
    <s v="Weekend"/>
    <n v="10"/>
    <x v="2"/>
    <x v="2"/>
    <x v="1"/>
  </r>
  <r>
    <x v="290"/>
    <n v="25"/>
    <x v="1"/>
    <x v="4"/>
    <x v="17"/>
    <x v="6"/>
    <n v="1"/>
    <n v="11"/>
    <x v="2"/>
    <s v="Weekend"/>
    <n v="9"/>
    <x v="1"/>
    <x v="2"/>
    <x v="0"/>
  </r>
  <r>
    <x v="291"/>
    <n v="18"/>
    <x v="1"/>
    <x v="4"/>
    <x v="0"/>
    <x v="0"/>
    <n v="2"/>
    <n v="14"/>
    <x v="0"/>
    <s v="Weekday"/>
    <n v="7"/>
    <x v="1"/>
    <x v="2"/>
    <x v="0"/>
  </r>
  <r>
    <x v="292"/>
    <n v="25"/>
    <x v="0"/>
    <x v="1"/>
    <x v="2"/>
    <x v="2"/>
    <n v="4"/>
    <n v="3"/>
    <x v="0"/>
    <s v="Weekend"/>
    <n v="7"/>
    <x v="1"/>
    <x v="0"/>
    <x v="1"/>
  </r>
  <r>
    <x v="293"/>
    <n v="25"/>
    <x v="0"/>
    <x v="9"/>
    <x v="5"/>
    <x v="3"/>
    <n v="5"/>
    <n v="10"/>
    <x v="0"/>
    <s v="Weekend"/>
    <n v="8"/>
    <x v="1"/>
    <x v="1"/>
    <x v="2"/>
  </r>
  <r>
    <x v="294"/>
    <n v="37"/>
    <x v="1"/>
    <x v="9"/>
    <x v="24"/>
    <x v="11"/>
    <n v="3"/>
    <n v="1"/>
    <x v="1"/>
    <s v="Weekend"/>
    <n v="9"/>
    <x v="0"/>
    <x v="0"/>
    <x v="1"/>
  </r>
  <r>
    <x v="295"/>
    <n v="22"/>
    <x v="1"/>
    <x v="4"/>
    <x v="11"/>
    <x v="5"/>
    <n v="3"/>
    <n v="2"/>
    <x v="0"/>
    <s v="Weekday"/>
    <n v="9"/>
    <x v="1"/>
    <x v="0"/>
    <x v="1"/>
  </r>
  <r>
    <x v="296"/>
    <n v="18"/>
    <x v="0"/>
    <x v="8"/>
    <x v="15"/>
    <x v="0"/>
    <n v="8"/>
    <n v="1"/>
    <x v="2"/>
    <s v="Weekday"/>
    <n v="9"/>
    <x v="1"/>
    <x v="1"/>
    <x v="1"/>
  </r>
  <r>
    <x v="297"/>
    <n v="19"/>
    <x v="0"/>
    <x v="0"/>
    <x v="6"/>
    <x v="3"/>
    <n v="5"/>
    <n v="3"/>
    <x v="2"/>
    <s v="Weekend"/>
    <n v="8"/>
    <x v="1"/>
    <x v="1"/>
    <x v="1"/>
  </r>
  <r>
    <x v="298"/>
    <n v="37"/>
    <x v="1"/>
    <x v="3"/>
    <x v="5"/>
    <x v="3"/>
    <n v="5"/>
    <n v="3"/>
    <x v="0"/>
    <s v="Weekend"/>
    <n v="7"/>
    <x v="0"/>
    <x v="1"/>
    <x v="1"/>
  </r>
  <r>
    <x v="299"/>
    <n v="20"/>
    <x v="0"/>
    <x v="3"/>
    <x v="6"/>
    <x v="3"/>
    <n v="4"/>
    <n v="1"/>
    <x v="2"/>
    <s v="Weekend"/>
    <n v="5"/>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7436BC-F8E4-40F1-B875-93051B648D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27" firstHeaderRow="1" firstDataRow="1" firstDataCol="1"/>
  <pivotFields count="14">
    <pivotField dataField="1" showAll="0"/>
    <pivotField showAll="0"/>
    <pivotField showAll="0"/>
    <pivotField showAll="0"/>
    <pivotField axis="axisRow" showAll="0" sortType="descending">
      <items count="26">
        <item x="4"/>
        <item x="16"/>
        <item x="19"/>
        <item x="5"/>
        <item x="11"/>
        <item x="15"/>
        <item x="17"/>
        <item x="8"/>
        <item x="18"/>
        <item x="20"/>
        <item x="1"/>
        <item x="14"/>
        <item x="24"/>
        <item x="2"/>
        <item x="6"/>
        <item x="3"/>
        <item x="21"/>
        <item x="22"/>
        <item x="12"/>
        <item x="9"/>
        <item x="7"/>
        <item x="0"/>
        <item x="10"/>
        <item x="13"/>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4"/>
  </rowFields>
  <rowItems count="26">
    <i>
      <x v="18"/>
    </i>
    <i>
      <x v="20"/>
    </i>
    <i>
      <x v="13"/>
    </i>
    <i>
      <x/>
    </i>
    <i>
      <x v="8"/>
    </i>
    <i>
      <x v="9"/>
    </i>
    <i>
      <x v="21"/>
    </i>
    <i>
      <x v="10"/>
    </i>
    <i>
      <x v="11"/>
    </i>
    <i>
      <x v="7"/>
    </i>
    <i>
      <x v="19"/>
    </i>
    <i>
      <x v="12"/>
    </i>
    <i>
      <x v="14"/>
    </i>
    <i>
      <x v="4"/>
    </i>
    <i>
      <x v="3"/>
    </i>
    <i>
      <x v="1"/>
    </i>
    <i>
      <x v="22"/>
    </i>
    <i>
      <x v="2"/>
    </i>
    <i>
      <x v="5"/>
    </i>
    <i>
      <x v="15"/>
    </i>
    <i>
      <x v="6"/>
    </i>
    <i>
      <x v="23"/>
    </i>
    <i>
      <x v="17"/>
    </i>
    <i>
      <x v="24"/>
    </i>
    <i>
      <x v="16"/>
    </i>
    <i t="grand">
      <x/>
    </i>
  </rowItems>
  <colItems count="1">
    <i/>
  </colItems>
  <dataFields count="1">
    <dataField name="Count of View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17A1E-744F-4124-A23C-445BD29E89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2:Q15" firstHeaderRow="1" firstDataRow="1" firstDataCol="1"/>
  <pivotFields count="14">
    <pivotField dataField="1" showAll="0"/>
    <pivotField showAll="0"/>
    <pivotField showAll="0"/>
    <pivotField showAll="0"/>
    <pivotField showAll="0"/>
    <pivotField axis="axisRow" showAll="0" sortType="descending">
      <items count="13">
        <item x="7"/>
        <item x="0"/>
        <item x="2"/>
        <item x="3"/>
        <item x="8"/>
        <item x="11"/>
        <item x="6"/>
        <item x="10"/>
        <item x="4"/>
        <item x="1"/>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5"/>
  </rowFields>
  <rowItems count="13">
    <i>
      <x v="10"/>
    </i>
    <i>
      <x v="1"/>
    </i>
    <i>
      <x v="3"/>
    </i>
    <i>
      <x v="6"/>
    </i>
    <i>
      <x v="8"/>
    </i>
    <i>
      <x v="2"/>
    </i>
    <i>
      <x v="9"/>
    </i>
    <i>
      <x/>
    </i>
    <i>
      <x v="5"/>
    </i>
    <i>
      <x v="11"/>
    </i>
    <i>
      <x v="7"/>
    </i>
    <i>
      <x v="4"/>
    </i>
    <i t="grand">
      <x/>
    </i>
  </rowItems>
  <colItems count="1">
    <i/>
  </colItems>
  <dataFields count="1">
    <dataField name="Count of View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3C281C-625B-4524-9908-E8A89E9F79A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3:I47" firstHeaderRow="1" firstDataRow="2" firstDataCol="1"/>
  <pivotFields count="14">
    <pivotField dataField="1" showAll="0"/>
    <pivotField showAll="0"/>
    <pivotField showAll="0"/>
    <pivotField showAll="0"/>
    <pivotField showAll="0"/>
    <pivotField axis="axisRow" showAll="0" sortType="descending">
      <items count="13">
        <item x="7"/>
        <item x="0"/>
        <item x="2"/>
        <item x="3"/>
        <item x="8"/>
        <item x="11"/>
        <item x="6"/>
        <item x="10"/>
        <item x="4"/>
        <item x="1"/>
        <item x="5"/>
        <item x="9"/>
        <item t="default"/>
      </items>
      <autoSortScope>
        <pivotArea dataOnly="0" outline="0" fieldPosition="0">
          <references count="2">
            <reference field="4294967294" count="1" selected="0">
              <x v="0"/>
            </reference>
            <reference field="11" count="1" selected="0">
              <x v="3"/>
            </reference>
          </references>
        </pivotArea>
      </autoSortScope>
    </pivotField>
    <pivotField showAll="0"/>
    <pivotField showAll="0"/>
    <pivotField showAll="0"/>
    <pivotField showAll="0"/>
    <pivotField showAll="0"/>
    <pivotField axis="axisCol" showAll="0">
      <items count="5">
        <item x="1"/>
        <item x="2"/>
        <item x="0"/>
        <item x="3"/>
        <item t="default"/>
      </items>
    </pivotField>
    <pivotField showAll="0"/>
    <pivotField showAll="0"/>
  </pivotFields>
  <rowFields count="1">
    <field x="5"/>
  </rowFields>
  <rowItems count="13">
    <i>
      <x v="3"/>
    </i>
    <i>
      <x v="1"/>
    </i>
    <i>
      <x v="10"/>
    </i>
    <i>
      <x v="6"/>
    </i>
    <i>
      <x v="2"/>
    </i>
    <i>
      <x v="8"/>
    </i>
    <i>
      <x v="7"/>
    </i>
    <i>
      <x v="9"/>
    </i>
    <i>
      <x v="11"/>
    </i>
    <i>
      <x v="4"/>
    </i>
    <i>
      <x/>
    </i>
    <i>
      <x v="5"/>
    </i>
    <i t="grand">
      <x/>
    </i>
  </rowItems>
  <colFields count="1">
    <field x="11"/>
  </colFields>
  <colItems count="5">
    <i>
      <x/>
    </i>
    <i>
      <x v="1"/>
    </i>
    <i>
      <x v="2"/>
    </i>
    <i>
      <x v="3"/>
    </i>
    <i t="grand">
      <x/>
    </i>
  </colItems>
  <dataFields count="1">
    <dataField name="Count of View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E6EF5C-46F8-4B7C-806D-4B4BDB4B86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3:M37"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4">
    <i>
      <x v="1"/>
    </i>
    <i>
      <x v="2"/>
    </i>
    <i>
      <x/>
    </i>
    <i t="grand">
      <x/>
    </i>
  </rowItems>
  <colItems count="1">
    <i/>
  </colItems>
  <dataFields count="1">
    <dataField name="Count of Viewer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6EF993-061A-4E2C-B27E-00E1E846253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1:L14" firstHeaderRow="1" firstDataRow="1" firstDataCol="1"/>
  <pivotFields count="14">
    <pivotField showAll="0"/>
    <pivotField showAll="0"/>
    <pivotField showAll="0"/>
    <pivotField showAll="0"/>
    <pivotField showAll="0"/>
    <pivotField axis="axisRow" showAll="0" sortType="descending">
      <items count="13">
        <item x="7"/>
        <item x="0"/>
        <item x="2"/>
        <item x="3"/>
        <item x="8"/>
        <item x="11"/>
        <item x="6"/>
        <item x="10"/>
        <item x="4"/>
        <item x="1"/>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5"/>
  </rowFields>
  <rowItems count="13">
    <i>
      <x v="6"/>
    </i>
    <i>
      <x v="10"/>
    </i>
    <i>
      <x v="1"/>
    </i>
    <i>
      <x v="8"/>
    </i>
    <i>
      <x v="2"/>
    </i>
    <i>
      <x v="3"/>
    </i>
    <i>
      <x v="5"/>
    </i>
    <i>
      <x/>
    </i>
    <i>
      <x v="9"/>
    </i>
    <i>
      <x v="7"/>
    </i>
    <i>
      <x v="11"/>
    </i>
    <i>
      <x v="4"/>
    </i>
    <i t="grand">
      <x/>
    </i>
  </rowItems>
  <colItems count="1">
    <i/>
  </colItems>
  <dataFields count="1">
    <dataField name="Average of Series Rating" fld="10" subtotal="average" baseField="5" baseItem="0" numFmtId="164"/>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A06D3-146A-4FA5-A2E4-7DE2F22BD6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5" firstHeaderRow="1" firstDataRow="1" firstDataCol="1"/>
  <pivotFields count="14">
    <pivotField dataField="1"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4">
    <i>
      <x v="2"/>
    </i>
    <i>
      <x/>
    </i>
    <i>
      <x v="1"/>
    </i>
    <i t="grand">
      <x/>
    </i>
  </rowItems>
  <colItems count="1">
    <i/>
  </colItems>
  <dataFields count="1">
    <dataField name="Count of View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65F733-8453-43A2-9697-77D702C122D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24:G28"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s>
  <rowFields count="1">
    <field x="8"/>
  </rowFields>
  <rowItems count="4">
    <i>
      <x/>
    </i>
    <i>
      <x v="1"/>
    </i>
    <i>
      <x v="2"/>
    </i>
    <i t="grand">
      <x/>
    </i>
  </rowItems>
  <colItems count="1">
    <i/>
  </colItems>
  <dataFields count="1">
    <dataField name="Count of View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38E62A-6D65-4997-B098-81A8DC1539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B27"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View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331219-21F8-41E8-B110-453C2E1071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7:G11"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3"/>
  </rowFields>
  <rowItems count="4">
    <i>
      <x v="1"/>
    </i>
    <i>
      <x v="2"/>
    </i>
    <i>
      <x/>
    </i>
    <i t="grand">
      <x/>
    </i>
  </rowItems>
  <colItems count="1">
    <i/>
  </colItems>
  <dataFields count="1">
    <dataField name="Count of View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00D73E-8820-4329-8346-0CC1AB422C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B12"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s>
  <rowFields count="1">
    <field x="11"/>
  </rowFields>
  <rowItems count="5">
    <i>
      <x/>
    </i>
    <i>
      <x v="1"/>
    </i>
    <i>
      <x v="2"/>
    </i>
    <i>
      <x v="3"/>
    </i>
    <i t="grand">
      <x/>
    </i>
  </rowItems>
  <colItems count="1">
    <i/>
  </colItems>
  <dataFields count="1">
    <dataField name="Count of Viewer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10.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zoomScale="70" zoomScaleNormal="70" workbookViewId="0">
      <selection activeCell="N2" sqref="N2"/>
    </sheetView>
  </sheetViews>
  <sheetFormatPr defaultColWidth="14.44140625" defaultRowHeight="15" customHeight="1"/>
  <cols>
    <col min="1" max="1" width="8.6640625" customWidth="1"/>
    <col min="2" max="2" width="13.5546875" customWidth="1"/>
    <col min="3" max="4" width="8.6640625" customWidth="1"/>
    <col min="5" max="5" width="19.33203125" customWidth="1"/>
    <col min="6" max="6" width="16.77734375" customWidth="1"/>
    <col min="7" max="7" width="25.88671875" bestFit="1" customWidth="1"/>
    <col min="8" max="8" width="28.33203125" customWidth="1"/>
    <col min="9" max="9" width="21.5546875" bestFit="1" customWidth="1"/>
    <col min="10" max="10" width="15.33203125" bestFit="1" customWidth="1"/>
    <col min="11" max="11" width="14.6640625" bestFit="1" customWidth="1"/>
    <col min="12" max="12" width="14.88671875" bestFit="1" customWidth="1"/>
    <col min="14" max="14" width="19.21875" bestFit="1" customWidth="1"/>
  </cols>
  <sheetData>
    <row r="1" spans="1:14" ht="14.4">
      <c r="A1" t="s">
        <v>0</v>
      </c>
      <c r="B1" t="s">
        <v>1</v>
      </c>
      <c r="C1" t="s">
        <v>2</v>
      </c>
      <c r="D1" t="s">
        <v>3</v>
      </c>
      <c r="E1" t="s">
        <v>4</v>
      </c>
      <c r="F1" t="s">
        <v>5</v>
      </c>
      <c r="G1" t="s">
        <v>6</v>
      </c>
      <c r="H1" t="s">
        <v>7</v>
      </c>
      <c r="I1" t="s">
        <v>8</v>
      </c>
      <c r="J1" t="s">
        <v>9</v>
      </c>
      <c r="K1" t="s">
        <v>10</v>
      </c>
      <c r="L1" t="s">
        <v>365</v>
      </c>
      <c r="M1" t="s">
        <v>366</v>
      </c>
      <c r="N1" t="s">
        <v>367</v>
      </c>
    </row>
    <row r="2" spans="1:14" ht="14.4">
      <c r="A2" t="s">
        <v>11</v>
      </c>
      <c r="B2">
        <v>39</v>
      </c>
      <c r="C2" t="s">
        <v>12</v>
      </c>
      <c r="D2" t="s">
        <v>13</v>
      </c>
      <c r="E2" t="s">
        <v>14</v>
      </c>
      <c r="F2" t="s">
        <v>15</v>
      </c>
      <c r="G2">
        <v>3</v>
      </c>
      <c r="H2">
        <v>12</v>
      </c>
      <c r="I2" t="s">
        <v>22</v>
      </c>
      <c r="J2" t="s">
        <v>17</v>
      </c>
      <c r="K2">
        <v>9</v>
      </c>
      <c r="L2" t="str">
        <f>IF(B2&lt;=25,"18-25",IF(B2&lt;=35,"26-35",IF(B2&lt;=45,"36-45","46+")))</f>
        <v>36-45</v>
      </c>
      <c r="M2" t="str">
        <f>IF(G2&lt;=2,"Casual Viewer",IF(G2&lt;=4,"Regular Viewer","Binge Watcher"))</f>
        <v>Regular Viewer</v>
      </c>
      <c r="N2" t="str">
        <f>IF(H2&lt;=5,"Low",IF(H2&lt;=10,"Medium","High"))</f>
        <v>High</v>
      </c>
    </row>
    <row r="3" spans="1:14" ht="14.4">
      <c r="A3" t="s">
        <v>18</v>
      </c>
      <c r="B3">
        <v>18</v>
      </c>
      <c r="C3" t="s">
        <v>12</v>
      </c>
      <c r="D3" t="s">
        <v>19</v>
      </c>
      <c r="E3" t="s">
        <v>20</v>
      </c>
      <c r="F3" t="s">
        <v>21</v>
      </c>
      <c r="G3">
        <v>5</v>
      </c>
      <c r="H3">
        <v>2</v>
      </c>
      <c r="I3" t="s">
        <v>22</v>
      </c>
      <c r="J3" t="s">
        <v>17</v>
      </c>
      <c r="K3">
        <v>9</v>
      </c>
      <c r="L3" t="str">
        <f t="shared" ref="L3:L66" si="0">IF(B3&lt;=25,"18-25",IF(B3&lt;=35,"26-35",IF(B3&lt;=45,"36-45","46+")))</f>
        <v>18-25</v>
      </c>
      <c r="M3" t="str">
        <f t="shared" ref="M3:M66" si="1">IF(G3&lt;=2,"Casual Viewer",IF(G3&lt;=4,"Regular Viewer","Binge Watcher"))</f>
        <v>Binge Watcher</v>
      </c>
      <c r="N3" t="str">
        <f t="shared" ref="N3:N66" si="2">IF(H3&lt;=5,"Low",IF(H3&lt;=10,"Medium","High"))</f>
        <v>Low</v>
      </c>
    </row>
    <row r="4" spans="1:14" ht="14.4">
      <c r="A4" t="s">
        <v>23</v>
      </c>
      <c r="B4">
        <v>20</v>
      </c>
      <c r="C4" t="s">
        <v>24</v>
      </c>
      <c r="D4" t="s">
        <v>19</v>
      </c>
      <c r="E4" t="s">
        <v>25</v>
      </c>
      <c r="F4" t="s">
        <v>26</v>
      </c>
      <c r="G4">
        <v>3</v>
      </c>
      <c r="H4">
        <v>1</v>
      </c>
      <c r="I4" t="s">
        <v>22</v>
      </c>
      <c r="J4" t="s">
        <v>17</v>
      </c>
      <c r="K4">
        <v>10</v>
      </c>
      <c r="L4" t="str">
        <f t="shared" si="0"/>
        <v>18-25</v>
      </c>
      <c r="M4" t="str">
        <f t="shared" si="1"/>
        <v>Regular Viewer</v>
      </c>
      <c r="N4" t="str">
        <f t="shared" si="2"/>
        <v>Low</v>
      </c>
    </row>
    <row r="5" spans="1:14" ht="14.4">
      <c r="A5" t="s">
        <v>27</v>
      </c>
      <c r="B5">
        <v>27</v>
      </c>
      <c r="C5" t="s">
        <v>24</v>
      </c>
      <c r="D5" t="s">
        <v>28</v>
      </c>
      <c r="E5" t="s">
        <v>29</v>
      </c>
      <c r="F5" t="s">
        <v>30</v>
      </c>
      <c r="G5">
        <v>5</v>
      </c>
      <c r="H5">
        <v>9</v>
      </c>
      <c r="I5" t="s">
        <v>31</v>
      </c>
      <c r="J5" t="s">
        <v>32</v>
      </c>
      <c r="K5">
        <v>8</v>
      </c>
      <c r="L5" t="str">
        <f t="shared" si="0"/>
        <v>26-35</v>
      </c>
      <c r="M5" t="str">
        <f t="shared" si="1"/>
        <v>Binge Watcher</v>
      </c>
      <c r="N5" t="str">
        <f t="shared" si="2"/>
        <v>Medium</v>
      </c>
    </row>
    <row r="6" spans="1:14" ht="14.4">
      <c r="A6" t="s">
        <v>33</v>
      </c>
      <c r="B6">
        <v>24</v>
      </c>
      <c r="C6" t="s">
        <v>12</v>
      </c>
      <c r="D6" t="s">
        <v>34</v>
      </c>
      <c r="E6" t="s">
        <v>35</v>
      </c>
      <c r="F6" t="s">
        <v>36</v>
      </c>
      <c r="G6">
        <v>1</v>
      </c>
      <c r="H6">
        <v>9</v>
      </c>
      <c r="I6" t="s">
        <v>31</v>
      </c>
      <c r="J6" t="s">
        <v>32</v>
      </c>
      <c r="K6">
        <v>10</v>
      </c>
      <c r="L6" t="str">
        <f t="shared" si="0"/>
        <v>18-25</v>
      </c>
      <c r="M6" t="str">
        <f t="shared" si="1"/>
        <v>Casual Viewer</v>
      </c>
      <c r="N6" t="str">
        <f t="shared" si="2"/>
        <v>Medium</v>
      </c>
    </row>
    <row r="7" spans="1:14" ht="14.4">
      <c r="A7" t="s">
        <v>37</v>
      </c>
      <c r="B7">
        <v>22</v>
      </c>
      <c r="C7" t="s">
        <v>24</v>
      </c>
      <c r="D7" t="s">
        <v>38</v>
      </c>
      <c r="E7" t="s">
        <v>35</v>
      </c>
      <c r="F7" t="s">
        <v>36</v>
      </c>
      <c r="G7">
        <v>3</v>
      </c>
      <c r="H7">
        <v>12</v>
      </c>
      <c r="I7" t="s">
        <v>22</v>
      </c>
      <c r="J7" t="s">
        <v>17</v>
      </c>
      <c r="K7">
        <v>9</v>
      </c>
      <c r="L7" t="str">
        <f t="shared" si="0"/>
        <v>18-25</v>
      </c>
      <c r="M7" t="str">
        <f t="shared" si="1"/>
        <v>Regular Viewer</v>
      </c>
      <c r="N7" t="str">
        <f t="shared" si="2"/>
        <v>High</v>
      </c>
    </row>
    <row r="8" spans="1:14" ht="14.4">
      <c r="A8" t="s">
        <v>39</v>
      </c>
      <c r="B8">
        <v>37</v>
      </c>
      <c r="C8" t="s">
        <v>24</v>
      </c>
      <c r="D8" t="s">
        <v>40</v>
      </c>
      <c r="E8" t="s">
        <v>25</v>
      </c>
      <c r="F8" t="s">
        <v>26</v>
      </c>
      <c r="G8">
        <v>4</v>
      </c>
      <c r="H8">
        <v>13</v>
      </c>
      <c r="I8" t="s">
        <v>31</v>
      </c>
      <c r="J8" t="s">
        <v>17</v>
      </c>
      <c r="K8">
        <v>7</v>
      </c>
      <c r="L8" t="str">
        <f t="shared" si="0"/>
        <v>36-45</v>
      </c>
      <c r="M8" t="str">
        <f t="shared" si="1"/>
        <v>Regular Viewer</v>
      </c>
      <c r="N8" t="str">
        <f t="shared" si="2"/>
        <v>High</v>
      </c>
    </row>
    <row r="9" spans="1:14" ht="14.4">
      <c r="A9" t="s">
        <v>41</v>
      </c>
      <c r="B9">
        <v>21</v>
      </c>
      <c r="C9" t="s">
        <v>12</v>
      </c>
      <c r="D9" t="s">
        <v>42</v>
      </c>
      <c r="E9" t="s">
        <v>43</v>
      </c>
      <c r="F9" t="s">
        <v>30</v>
      </c>
      <c r="G9">
        <v>1</v>
      </c>
      <c r="H9">
        <v>9</v>
      </c>
      <c r="I9" t="s">
        <v>22</v>
      </c>
      <c r="J9" t="s">
        <v>32</v>
      </c>
      <c r="K9">
        <v>8</v>
      </c>
      <c r="L9" t="str">
        <f t="shared" si="0"/>
        <v>18-25</v>
      </c>
      <c r="M9" t="str">
        <f t="shared" si="1"/>
        <v>Casual Viewer</v>
      </c>
      <c r="N9" t="str">
        <f t="shared" si="2"/>
        <v>Medium</v>
      </c>
    </row>
    <row r="10" spans="1:14" ht="14.4">
      <c r="A10" t="s">
        <v>44</v>
      </c>
      <c r="B10">
        <v>19</v>
      </c>
      <c r="C10" t="s">
        <v>24</v>
      </c>
      <c r="D10" t="s">
        <v>19</v>
      </c>
      <c r="E10" t="s">
        <v>45</v>
      </c>
      <c r="F10" t="s">
        <v>30</v>
      </c>
      <c r="G10">
        <v>1</v>
      </c>
      <c r="H10">
        <v>10</v>
      </c>
      <c r="I10" t="s">
        <v>22</v>
      </c>
      <c r="J10" t="s">
        <v>17</v>
      </c>
      <c r="K10">
        <v>8</v>
      </c>
      <c r="L10" t="str">
        <f t="shared" si="0"/>
        <v>18-25</v>
      </c>
      <c r="M10" t="str">
        <f t="shared" si="1"/>
        <v>Casual Viewer</v>
      </c>
      <c r="N10" t="str">
        <f t="shared" si="2"/>
        <v>Medium</v>
      </c>
    </row>
    <row r="11" spans="1:14" ht="14.4">
      <c r="A11" t="s">
        <v>46</v>
      </c>
      <c r="B11">
        <v>32</v>
      </c>
      <c r="C11" t="s">
        <v>12</v>
      </c>
      <c r="D11" t="s">
        <v>47</v>
      </c>
      <c r="E11" t="s">
        <v>14</v>
      </c>
      <c r="F11" t="s">
        <v>15</v>
      </c>
      <c r="G11">
        <v>3</v>
      </c>
      <c r="H11">
        <v>7</v>
      </c>
      <c r="I11" t="s">
        <v>22</v>
      </c>
      <c r="J11" t="s">
        <v>32</v>
      </c>
      <c r="K11">
        <v>9</v>
      </c>
      <c r="L11" t="str">
        <f t="shared" si="0"/>
        <v>26-35</v>
      </c>
      <c r="M11" t="str">
        <f t="shared" si="1"/>
        <v>Regular Viewer</v>
      </c>
      <c r="N11" t="str">
        <f t="shared" si="2"/>
        <v>Medium</v>
      </c>
    </row>
    <row r="12" spans="1:14" ht="14.4">
      <c r="A12" t="s">
        <v>48</v>
      </c>
      <c r="B12">
        <v>19</v>
      </c>
      <c r="C12" t="s">
        <v>24</v>
      </c>
      <c r="D12" t="s">
        <v>13</v>
      </c>
      <c r="E12" t="s">
        <v>49</v>
      </c>
      <c r="F12" t="s">
        <v>50</v>
      </c>
      <c r="G12">
        <v>5</v>
      </c>
      <c r="H12">
        <v>5</v>
      </c>
      <c r="I12" t="s">
        <v>22</v>
      </c>
      <c r="J12" t="s">
        <v>32</v>
      </c>
      <c r="K12">
        <v>10</v>
      </c>
      <c r="L12" t="str">
        <f t="shared" si="0"/>
        <v>18-25</v>
      </c>
      <c r="M12" t="str">
        <f t="shared" si="1"/>
        <v>Binge Watcher</v>
      </c>
      <c r="N12" t="str">
        <f t="shared" si="2"/>
        <v>Low</v>
      </c>
    </row>
    <row r="13" spans="1:14" ht="14.4">
      <c r="A13" t="s">
        <v>51</v>
      </c>
      <c r="B13">
        <v>23</v>
      </c>
      <c r="C13" t="s">
        <v>12</v>
      </c>
      <c r="D13" t="s">
        <v>34</v>
      </c>
      <c r="E13" t="s">
        <v>52</v>
      </c>
      <c r="F13" t="s">
        <v>53</v>
      </c>
      <c r="G13">
        <v>7</v>
      </c>
      <c r="H13">
        <v>11</v>
      </c>
      <c r="I13" t="s">
        <v>22</v>
      </c>
      <c r="J13" t="s">
        <v>17</v>
      </c>
      <c r="K13">
        <v>8</v>
      </c>
      <c r="L13" t="str">
        <f t="shared" si="0"/>
        <v>18-25</v>
      </c>
      <c r="M13" t="str">
        <f t="shared" si="1"/>
        <v>Binge Watcher</v>
      </c>
      <c r="N13" t="str">
        <f t="shared" si="2"/>
        <v>High</v>
      </c>
    </row>
    <row r="14" spans="1:14" ht="14.4">
      <c r="A14" t="s">
        <v>54</v>
      </c>
      <c r="B14">
        <v>28</v>
      </c>
      <c r="C14" t="s">
        <v>24</v>
      </c>
      <c r="D14" t="s">
        <v>19</v>
      </c>
      <c r="E14" t="s">
        <v>55</v>
      </c>
      <c r="F14" t="s">
        <v>56</v>
      </c>
      <c r="G14">
        <v>5</v>
      </c>
      <c r="H14">
        <v>10</v>
      </c>
      <c r="I14" t="s">
        <v>31</v>
      </c>
      <c r="J14" t="s">
        <v>17</v>
      </c>
      <c r="K14">
        <v>10</v>
      </c>
      <c r="L14" t="str">
        <f t="shared" si="0"/>
        <v>26-35</v>
      </c>
      <c r="M14" t="str">
        <f t="shared" si="1"/>
        <v>Binge Watcher</v>
      </c>
      <c r="N14" t="str">
        <f t="shared" si="2"/>
        <v>Medium</v>
      </c>
    </row>
    <row r="15" spans="1:14" ht="14.4">
      <c r="A15" t="s">
        <v>57</v>
      </c>
      <c r="B15">
        <v>31</v>
      </c>
      <c r="C15" t="s">
        <v>12</v>
      </c>
      <c r="D15" t="s">
        <v>58</v>
      </c>
      <c r="E15" t="s">
        <v>20</v>
      </c>
      <c r="F15" t="s">
        <v>21</v>
      </c>
      <c r="G15">
        <v>2</v>
      </c>
      <c r="H15">
        <v>8</v>
      </c>
      <c r="I15" t="s">
        <v>22</v>
      </c>
      <c r="J15" t="s">
        <v>32</v>
      </c>
      <c r="K15">
        <v>10</v>
      </c>
      <c r="L15" t="str">
        <f t="shared" si="0"/>
        <v>26-35</v>
      </c>
      <c r="M15" t="str">
        <f t="shared" si="1"/>
        <v>Casual Viewer</v>
      </c>
      <c r="N15" t="str">
        <f t="shared" si="2"/>
        <v>Medium</v>
      </c>
    </row>
    <row r="16" spans="1:14" ht="14.4">
      <c r="A16" t="s">
        <v>59</v>
      </c>
      <c r="B16">
        <v>37</v>
      </c>
      <c r="C16" t="s">
        <v>24</v>
      </c>
      <c r="D16" t="s">
        <v>58</v>
      </c>
      <c r="E16" t="s">
        <v>60</v>
      </c>
      <c r="F16" t="s">
        <v>53</v>
      </c>
      <c r="G16">
        <v>5</v>
      </c>
      <c r="H16">
        <v>3</v>
      </c>
      <c r="I16" t="s">
        <v>22</v>
      </c>
      <c r="J16" t="s">
        <v>32</v>
      </c>
      <c r="K16">
        <v>10</v>
      </c>
      <c r="L16" t="str">
        <f t="shared" si="0"/>
        <v>36-45</v>
      </c>
      <c r="M16" t="str">
        <f t="shared" si="1"/>
        <v>Binge Watcher</v>
      </c>
      <c r="N16" t="str">
        <f t="shared" si="2"/>
        <v>Low</v>
      </c>
    </row>
    <row r="17" spans="1:14" ht="14.4">
      <c r="A17" t="s">
        <v>61</v>
      </c>
      <c r="B17">
        <v>26</v>
      </c>
      <c r="C17" t="s">
        <v>12</v>
      </c>
      <c r="D17" t="s">
        <v>62</v>
      </c>
      <c r="E17" t="s">
        <v>63</v>
      </c>
      <c r="F17" t="s">
        <v>50</v>
      </c>
      <c r="G17">
        <v>2</v>
      </c>
      <c r="H17">
        <v>13</v>
      </c>
      <c r="I17" t="s">
        <v>22</v>
      </c>
      <c r="J17" t="s">
        <v>32</v>
      </c>
      <c r="K17">
        <v>9</v>
      </c>
      <c r="L17" t="str">
        <f t="shared" si="0"/>
        <v>26-35</v>
      </c>
      <c r="M17" t="str">
        <f t="shared" si="1"/>
        <v>Casual Viewer</v>
      </c>
      <c r="N17" t="str">
        <f t="shared" si="2"/>
        <v>High</v>
      </c>
    </row>
    <row r="18" spans="1:14" ht="14.4">
      <c r="A18" t="s">
        <v>64</v>
      </c>
      <c r="B18">
        <v>32</v>
      </c>
      <c r="C18" t="s">
        <v>12</v>
      </c>
      <c r="D18" t="s">
        <v>34</v>
      </c>
      <c r="E18" t="s">
        <v>65</v>
      </c>
      <c r="F18" t="s">
        <v>50</v>
      </c>
      <c r="G18">
        <v>2</v>
      </c>
      <c r="H18">
        <v>2</v>
      </c>
      <c r="I18" t="s">
        <v>22</v>
      </c>
      <c r="J18" t="s">
        <v>17</v>
      </c>
      <c r="K18">
        <v>9</v>
      </c>
      <c r="L18" t="str">
        <f t="shared" si="0"/>
        <v>26-35</v>
      </c>
      <c r="M18" t="str">
        <f t="shared" si="1"/>
        <v>Casual Viewer</v>
      </c>
      <c r="N18" t="str">
        <f t="shared" si="2"/>
        <v>Low</v>
      </c>
    </row>
    <row r="19" spans="1:14" ht="14.4">
      <c r="A19" t="s">
        <v>66</v>
      </c>
      <c r="B19">
        <v>33</v>
      </c>
      <c r="C19" t="s">
        <v>24</v>
      </c>
      <c r="D19" t="s">
        <v>62</v>
      </c>
      <c r="E19" t="s">
        <v>67</v>
      </c>
      <c r="F19" t="s">
        <v>30</v>
      </c>
      <c r="G19">
        <v>3</v>
      </c>
      <c r="H19">
        <v>10</v>
      </c>
      <c r="I19" t="s">
        <v>22</v>
      </c>
      <c r="J19" t="s">
        <v>32</v>
      </c>
      <c r="K19">
        <v>8</v>
      </c>
      <c r="L19" t="str">
        <f t="shared" si="0"/>
        <v>26-35</v>
      </c>
      <c r="M19" t="str">
        <f t="shared" si="1"/>
        <v>Regular Viewer</v>
      </c>
      <c r="N19" t="str">
        <f t="shared" si="2"/>
        <v>Medium</v>
      </c>
    </row>
    <row r="20" spans="1:14" ht="14.4">
      <c r="A20" t="s">
        <v>68</v>
      </c>
      <c r="B20">
        <v>35</v>
      </c>
      <c r="C20" t="s">
        <v>24</v>
      </c>
      <c r="D20" t="s">
        <v>28</v>
      </c>
      <c r="E20" t="s">
        <v>29</v>
      </c>
      <c r="F20" t="s">
        <v>30</v>
      </c>
      <c r="G20">
        <v>1</v>
      </c>
      <c r="H20">
        <v>11</v>
      </c>
      <c r="I20" t="s">
        <v>22</v>
      </c>
      <c r="J20" t="s">
        <v>32</v>
      </c>
      <c r="K20">
        <v>7</v>
      </c>
      <c r="L20" t="str">
        <f t="shared" si="0"/>
        <v>26-35</v>
      </c>
      <c r="M20" t="str">
        <f t="shared" si="1"/>
        <v>Casual Viewer</v>
      </c>
      <c r="N20" t="str">
        <f t="shared" si="2"/>
        <v>High</v>
      </c>
    </row>
    <row r="21" spans="1:14" ht="15.75" customHeight="1">
      <c r="A21" t="s">
        <v>69</v>
      </c>
      <c r="B21">
        <v>39</v>
      </c>
      <c r="C21" t="s">
        <v>12</v>
      </c>
      <c r="D21" t="s">
        <v>38</v>
      </c>
      <c r="E21" t="s">
        <v>70</v>
      </c>
      <c r="F21" t="s">
        <v>15</v>
      </c>
      <c r="G21">
        <v>5</v>
      </c>
      <c r="H21">
        <v>6</v>
      </c>
      <c r="I21" t="s">
        <v>31</v>
      </c>
      <c r="J21" t="s">
        <v>17</v>
      </c>
      <c r="K21">
        <v>8</v>
      </c>
      <c r="L21" t="str">
        <f t="shared" si="0"/>
        <v>36-45</v>
      </c>
      <c r="M21" t="str">
        <f t="shared" si="1"/>
        <v>Binge Watcher</v>
      </c>
      <c r="N21" t="str">
        <f t="shared" si="2"/>
        <v>Medium</v>
      </c>
    </row>
    <row r="22" spans="1:14" ht="15.75" customHeight="1">
      <c r="A22" t="s">
        <v>71</v>
      </c>
      <c r="B22">
        <v>39</v>
      </c>
      <c r="C22" t="s">
        <v>12</v>
      </c>
      <c r="D22" t="s">
        <v>42</v>
      </c>
      <c r="E22" t="s">
        <v>63</v>
      </c>
      <c r="F22" t="s">
        <v>50</v>
      </c>
      <c r="G22">
        <v>1</v>
      </c>
      <c r="H22">
        <v>2</v>
      </c>
      <c r="I22" t="s">
        <v>22</v>
      </c>
      <c r="J22" t="s">
        <v>32</v>
      </c>
      <c r="K22">
        <v>9</v>
      </c>
      <c r="L22" t="str">
        <f t="shared" si="0"/>
        <v>36-45</v>
      </c>
      <c r="M22" t="str">
        <f t="shared" si="1"/>
        <v>Casual Viewer</v>
      </c>
      <c r="N22" t="str">
        <f t="shared" si="2"/>
        <v>Low</v>
      </c>
    </row>
    <row r="23" spans="1:14" ht="15.75" customHeight="1">
      <c r="A23" t="s">
        <v>72</v>
      </c>
      <c r="B23">
        <v>33</v>
      </c>
      <c r="C23" t="s">
        <v>24</v>
      </c>
      <c r="D23" t="s">
        <v>42</v>
      </c>
      <c r="E23" t="s">
        <v>70</v>
      </c>
      <c r="F23" t="s">
        <v>15</v>
      </c>
      <c r="G23">
        <v>3</v>
      </c>
      <c r="H23">
        <v>9</v>
      </c>
      <c r="I23" t="s">
        <v>22</v>
      </c>
      <c r="J23" t="s">
        <v>32</v>
      </c>
      <c r="K23">
        <v>6</v>
      </c>
      <c r="L23" t="str">
        <f t="shared" si="0"/>
        <v>26-35</v>
      </c>
      <c r="M23" t="str">
        <f t="shared" si="1"/>
        <v>Regular Viewer</v>
      </c>
      <c r="N23" t="str">
        <f t="shared" si="2"/>
        <v>Medium</v>
      </c>
    </row>
    <row r="24" spans="1:14" ht="15.75" customHeight="1">
      <c r="A24" t="s">
        <v>73</v>
      </c>
      <c r="B24">
        <v>31</v>
      </c>
      <c r="C24" t="s">
        <v>24</v>
      </c>
      <c r="D24" t="s">
        <v>42</v>
      </c>
      <c r="E24" t="s">
        <v>65</v>
      </c>
      <c r="F24" t="s">
        <v>50</v>
      </c>
      <c r="G24">
        <v>1</v>
      </c>
      <c r="H24">
        <v>1</v>
      </c>
      <c r="I24" t="s">
        <v>22</v>
      </c>
      <c r="J24" t="s">
        <v>32</v>
      </c>
      <c r="K24">
        <v>9</v>
      </c>
      <c r="L24" t="str">
        <f t="shared" si="0"/>
        <v>26-35</v>
      </c>
      <c r="M24" t="str">
        <f t="shared" si="1"/>
        <v>Casual Viewer</v>
      </c>
      <c r="N24" t="str">
        <f t="shared" si="2"/>
        <v>Low</v>
      </c>
    </row>
    <row r="25" spans="1:14" ht="15.75" customHeight="1">
      <c r="A25" t="s">
        <v>74</v>
      </c>
      <c r="B25">
        <v>34</v>
      </c>
      <c r="C25" t="s">
        <v>12</v>
      </c>
      <c r="D25" t="s">
        <v>58</v>
      </c>
      <c r="E25" t="s">
        <v>65</v>
      </c>
      <c r="F25" t="s">
        <v>50</v>
      </c>
      <c r="G25">
        <v>1</v>
      </c>
      <c r="H25">
        <v>8</v>
      </c>
      <c r="I25" t="s">
        <v>31</v>
      </c>
      <c r="J25" t="s">
        <v>32</v>
      </c>
      <c r="K25">
        <v>9</v>
      </c>
      <c r="L25" t="str">
        <f t="shared" si="0"/>
        <v>26-35</v>
      </c>
      <c r="M25" t="str">
        <f t="shared" si="1"/>
        <v>Casual Viewer</v>
      </c>
      <c r="N25" t="str">
        <f t="shared" si="2"/>
        <v>Medium</v>
      </c>
    </row>
    <row r="26" spans="1:14" ht="15.75" customHeight="1">
      <c r="A26" t="s">
        <v>75</v>
      </c>
      <c r="B26">
        <v>22</v>
      </c>
      <c r="C26" t="s">
        <v>12</v>
      </c>
      <c r="D26" t="s">
        <v>34</v>
      </c>
      <c r="E26" t="s">
        <v>43</v>
      </c>
      <c r="F26" t="s">
        <v>30</v>
      </c>
      <c r="G26">
        <v>2</v>
      </c>
      <c r="H26">
        <v>9</v>
      </c>
      <c r="I26" t="s">
        <v>31</v>
      </c>
      <c r="J26" t="s">
        <v>32</v>
      </c>
      <c r="K26">
        <v>9</v>
      </c>
      <c r="L26" t="str">
        <f t="shared" si="0"/>
        <v>18-25</v>
      </c>
      <c r="M26" t="str">
        <f t="shared" si="1"/>
        <v>Casual Viewer</v>
      </c>
      <c r="N26" t="str">
        <f t="shared" si="2"/>
        <v>Medium</v>
      </c>
    </row>
    <row r="27" spans="1:14" ht="15.75" customHeight="1">
      <c r="A27" t="s">
        <v>76</v>
      </c>
      <c r="B27">
        <v>38</v>
      </c>
      <c r="C27" t="s">
        <v>12</v>
      </c>
      <c r="D27" t="s">
        <v>13</v>
      </c>
      <c r="E27" t="s">
        <v>35</v>
      </c>
      <c r="F27" t="s">
        <v>36</v>
      </c>
      <c r="G27">
        <v>3</v>
      </c>
      <c r="H27">
        <v>1</v>
      </c>
      <c r="I27" t="s">
        <v>22</v>
      </c>
      <c r="J27" t="s">
        <v>17</v>
      </c>
      <c r="K27">
        <v>10</v>
      </c>
      <c r="L27" t="str">
        <f t="shared" si="0"/>
        <v>36-45</v>
      </c>
      <c r="M27" t="str">
        <f t="shared" si="1"/>
        <v>Regular Viewer</v>
      </c>
      <c r="N27" t="str">
        <f t="shared" si="2"/>
        <v>Low</v>
      </c>
    </row>
    <row r="28" spans="1:14" ht="15.75" customHeight="1">
      <c r="A28" t="s">
        <v>77</v>
      </c>
      <c r="B28">
        <v>25</v>
      </c>
      <c r="C28" t="s">
        <v>24</v>
      </c>
      <c r="D28" t="s">
        <v>40</v>
      </c>
      <c r="E28" t="s">
        <v>78</v>
      </c>
      <c r="F28" t="s">
        <v>15</v>
      </c>
      <c r="G28">
        <v>1</v>
      </c>
      <c r="H28">
        <v>7</v>
      </c>
      <c r="I28" t="s">
        <v>22</v>
      </c>
      <c r="J28" t="s">
        <v>17</v>
      </c>
      <c r="K28">
        <v>10</v>
      </c>
      <c r="L28" t="str">
        <f t="shared" si="0"/>
        <v>18-25</v>
      </c>
      <c r="M28" t="str">
        <f t="shared" si="1"/>
        <v>Casual Viewer</v>
      </c>
      <c r="N28" t="str">
        <f t="shared" si="2"/>
        <v>Medium</v>
      </c>
    </row>
    <row r="29" spans="1:14" ht="15.75" customHeight="1">
      <c r="A29" t="s">
        <v>79</v>
      </c>
      <c r="B29">
        <v>30</v>
      </c>
      <c r="C29" t="s">
        <v>24</v>
      </c>
      <c r="D29" t="s">
        <v>42</v>
      </c>
      <c r="E29" t="s">
        <v>65</v>
      </c>
      <c r="F29" t="s">
        <v>50</v>
      </c>
      <c r="G29">
        <v>5</v>
      </c>
      <c r="H29">
        <v>14</v>
      </c>
      <c r="I29" t="s">
        <v>22</v>
      </c>
      <c r="J29" t="s">
        <v>32</v>
      </c>
      <c r="K29">
        <v>9</v>
      </c>
      <c r="L29" t="str">
        <f t="shared" si="0"/>
        <v>26-35</v>
      </c>
      <c r="M29" t="str">
        <f t="shared" si="1"/>
        <v>Binge Watcher</v>
      </c>
      <c r="N29" t="str">
        <f t="shared" si="2"/>
        <v>High</v>
      </c>
    </row>
    <row r="30" spans="1:14" ht="15.75" customHeight="1">
      <c r="A30" t="s">
        <v>80</v>
      </c>
      <c r="B30">
        <v>32</v>
      </c>
      <c r="C30" t="s">
        <v>12</v>
      </c>
      <c r="D30" t="s">
        <v>28</v>
      </c>
      <c r="E30" t="s">
        <v>67</v>
      </c>
      <c r="F30" t="s">
        <v>30</v>
      </c>
      <c r="G30">
        <v>4</v>
      </c>
      <c r="H30">
        <v>8</v>
      </c>
      <c r="I30" t="s">
        <v>22</v>
      </c>
      <c r="J30" t="s">
        <v>17</v>
      </c>
      <c r="K30">
        <v>8</v>
      </c>
      <c r="L30" t="str">
        <f t="shared" si="0"/>
        <v>26-35</v>
      </c>
      <c r="M30" t="str">
        <f t="shared" si="1"/>
        <v>Regular Viewer</v>
      </c>
      <c r="N30" t="str">
        <f t="shared" si="2"/>
        <v>Medium</v>
      </c>
    </row>
    <row r="31" spans="1:14" ht="15.75" customHeight="1">
      <c r="A31" t="s">
        <v>81</v>
      </c>
      <c r="B31">
        <v>23</v>
      </c>
      <c r="C31" t="s">
        <v>24</v>
      </c>
      <c r="D31" t="s">
        <v>28</v>
      </c>
      <c r="E31" t="s">
        <v>55</v>
      </c>
      <c r="F31" t="s">
        <v>56</v>
      </c>
      <c r="G31">
        <v>5</v>
      </c>
      <c r="H31">
        <v>2</v>
      </c>
      <c r="I31" t="s">
        <v>22</v>
      </c>
      <c r="J31" t="s">
        <v>17</v>
      </c>
      <c r="K31">
        <v>9</v>
      </c>
      <c r="L31" t="str">
        <f t="shared" si="0"/>
        <v>18-25</v>
      </c>
      <c r="M31" t="str">
        <f t="shared" si="1"/>
        <v>Binge Watcher</v>
      </c>
      <c r="N31" t="str">
        <f t="shared" si="2"/>
        <v>Low</v>
      </c>
    </row>
    <row r="32" spans="1:14" ht="15.75" customHeight="1">
      <c r="A32" t="s">
        <v>82</v>
      </c>
      <c r="B32">
        <v>26</v>
      </c>
      <c r="C32" t="s">
        <v>24</v>
      </c>
      <c r="D32" t="s">
        <v>40</v>
      </c>
      <c r="E32" t="s">
        <v>78</v>
      </c>
      <c r="F32" t="s">
        <v>15</v>
      </c>
      <c r="G32">
        <v>3</v>
      </c>
      <c r="H32">
        <v>13</v>
      </c>
      <c r="I32" t="s">
        <v>31</v>
      </c>
      <c r="J32" t="s">
        <v>17</v>
      </c>
      <c r="K32">
        <v>9</v>
      </c>
      <c r="L32" t="str">
        <f t="shared" si="0"/>
        <v>26-35</v>
      </c>
      <c r="M32" t="str">
        <f t="shared" si="1"/>
        <v>Regular Viewer</v>
      </c>
      <c r="N32" t="str">
        <f t="shared" si="2"/>
        <v>High</v>
      </c>
    </row>
    <row r="33" spans="1:14" ht="15.75" customHeight="1">
      <c r="A33" t="s">
        <v>83</v>
      </c>
      <c r="B33">
        <v>38</v>
      </c>
      <c r="C33" t="s">
        <v>12</v>
      </c>
      <c r="D33" t="s">
        <v>62</v>
      </c>
      <c r="E33" t="s">
        <v>84</v>
      </c>
      <c r="F33" t="s">
        <v>30</v>
      </c>
      <c r="G33">
        <v>2</v>
      </c>
      <c r="H33">
        <v>6</v>
      </c>
      <c r="I33" t="s">
        <v>31</v>
      </c>
      <c r="J33" t="s">
        <v>32</v>
      </c>
      <c r="K33">
        <v>9</v>
      </c>
      <c r="L33" t="str">
        <f t="shared" si="0"/>
        <v>36-45</v>
      </c>
      <c r="M33" t="str">
        <f t="shared" si="1"/>
        <v>Casual Viewer</v>
      </c>
      <c r="N33" t="str">
        <f t="shared" si="2"/>
        <v>Medium</v>
      </c>
    </row>
    <row r="34" spans="1:14" ht="15.75" customHeight="1">
      <c r="A34" t="s">
        <v>85</v>
      </c>
      <c r="B34">
        <v>20</v>
      </c>
      <c r="C34" t="s">
        <v>24</v>
      </c>
      <c r="D34" t="s">
        <v>38</v>
      </c>
      <c r="E34" t="s">
        <v>86</v>
      </c>
      <c r="F34" t="s">
        <v>53</v>
      </c>
      <c r="G34">
        <v>4</v>
      </c>
      <c r="H34">
        <v>4</v>
      </c>
      <c r="I34" t="s">
        <v>22</v>
      </c>
      <c r="J34" t="s">
        <v>32</v>
      </c>
      <c r="K34">
        <v>10</v>
      </c>
      <c r="L34" t="str">
        <f t="shared" si="0"/>
        <v>18-25</v>
      </c>
      <c r="M34" t="str">
        <f t="shared" si="1"/>
        <v>Regular Viewer</v>
      </c>
      <c r="N34" t="str">
        <f t="shared" si="2"/>
        <v>Low</v>
      </c>
    </row>
    <row r="35" spans="1:14" ht="15.75" customHeight="1">
      <c r="A35" t="s">
        <v>87</v>
      </c>
      <c r="B35">
        <v>26</v>
      </c>
      <c r="C35" t="s">
        <v>24</v>
      </c>
      <c r="D35" t="s">
        <v>19</v>
      </c>
      <c r="E35" t="s">
        <v>88</v>
      </c>
      <c r="F35" t="s">
        <v>15</v>
      </c>
      <c r="G35">
        <v>2</v>
      </c>
      <c r="H35">
        <v>6</v>
      </c>
      <c r="I35" t="s">
        <v>22</v>
      </c>
      <c r="J35" t="s">
        <v>17</v>
      </c>
      <c r="K35">
        <v>8</v>
      </c>
      <c r="L35" t="str">
        <f t="shared" si="0"/>
        <v>26-35</v>
      </c>
      <c r="M35" t="str">
        <f t="shared" si="1"/>
        <v>Casual Viewer</v>
      </c>
      <c r="N35" t="str">
        <f t="shared" si="2"/>
        <v>Medium</v>
      </c>
    </row>
    <row r="36" spans="1:14" ht="15.75" customHeight="1">
      <c r="A36" t="s">
        <v>89</v>
      </c>
      <c r="B36">
        <v>18</v>
      </c>
      <c r="C36" t="s">
        <v>12</v>
      </c>
      <c r="D36" t="s">
        <v>40</v>
      </c>
      <c r="E36" t="s">
        <v>60</v>
      </c>
      <c r="F36" t="s">
        <v>53</v>
      </c>
      <c r="G36">
        <v>1</v>
      </c>
      <c r="H36">
        <v>5</v>
      </c>
      <c r="I36" t="s">
        <v>22</v>
      </c>
      <c r="J36" t="s">
        <v>32</v>
      </c>
      <c r="K36">
        <v>10</v>
      </c>
      <c r="L36" t="str">
        <f t="shared" si="0"/>
        <v>18-25</v>
      </c>
      <c r="M36" t="str">
        <f t="shared" si="1"/>
        <v>Casual Viewer</v>
      </c>
      <c r="N36" t="str">
        <f t="shared" si="2"/>
        <v>Low</v>
      </c>
    </row>
    <row r="37" spans="1:14" ht="15.75" customHeight="1">
      <c r="A37" t="s">
        <v>90</v>
      </c>
      <c r="B37">
        <v>22</v>
      </c>
      <c r="C37" t="s">
        <v>12</v>
      </c>
      <c r="D37" t="s">
        <v>47</v>
      </c>
      <c r="E37" t="s">
        <v>65</v>
      </c>
      <c r="F37" t="s">
        <v>50</v>
      </c>
      <c r="G37">
        <v>5</v>
      </c>
      <c r="H37">
        <v>14</v>
      </c>
      <c r="I37" t="s">
        <v>22</v>
      </c>
      <c r="J37" t="s">
        <v>32</v>
      </c>
      <c r="K37">
        <v>9</v>
      </c>
      <c r="L37" t="str">
        <f t="shared" si="0"/>
        <v>18-25</v>
      </c>
      <c r="M37" t="str">
        <f t="shared" si="1"/>
        <v>Binge Watcher</v>
      </c>
      <c r="N37" t="str">
        <f t="shared" si="2"/>
        <v>High</v>
      </c>
    </row>
    <row r="38" spans="1:14" ht="15.75" customHeight="1">
      <c r="A38" t="s">
        <v>91</v>
      </c>
      <c r="B38">
        <v>32</v>
      </c>
      <c r="C38" t="s">
        <v>12</v>
      </c>
      <c r="D38" t="s">
        <v>19</v>
      </c>
      <c r="E38" t="s">
        <v>45</v>
      </c>
      <c r="F38" t="s">
        <v>30</v>
      </c>
      <c r="G38">
        <v>3</v>
      </c>
      <c r="H38">
        <v>1</v>
      </c>
      <c r="I38" t="s">
        <v>22</v>
      </c>
      <c r="J38" t="s">
        <v>32</v>
      </c>
      <c r="K38">
        <v>8</v>
      </c>
      <c r="L38" t="str">
        <f t="shared" si="0"/>
        <v>26-35</v>
      </c>
      <c r="M38" t="str">
        <f t="shared" si="1"/>
        <v>Regular Viewer</v>
      </c>
      <c r="N38" t="str">
        <f t="shared" si="2"/>
        <v>Low</v>
      </c>
    </row>
    <row r="39" spans="1:14" ht="15.75" customHeight="1">
      <c r="A39" t="s">
        <v>92</v>
      </c>
      <c r="B39">
        <v>30</v>
      </c>
      <c r="C39" t="s">
        <v>24</v>
      </c>
      <c r="D39" t="s">
        <v>42</v>
      </c>
      <c r="E39" t="s">
        <v>88</v>
      </c>
      <c r="F39" t="s">
        <v>15</v>
      </c>
      <c r="G39">
        <v>1</v>
      </c>
      <c r="H39">
        <v>1</v>
      </c>
      <c r="I39" t="s">
        <v>31</v>
      </c>
      <c r="J39" t="s">
        <v>32</v>
      </c>
      <c r="K39">
        <v>9</v>
      </c>
      <c r="L39" t="str">
        <f t="shared" si="0"/>
        <v>26-35</v>
      </c>
      <c r="M39" t="str">
        <f t="shared" si="1"/>
        <v>Casual Viewer</v>
      </c>
      <c r="N39" t="str">
        <f t="shared" si="2"/>
        <v>Low</v>
      </c>
    </row>
    <row r="40" spans="1:14" ht="15.75" customHeight="1">
      <c r="A40" t="s">
        <v>93</v>
      </c>
      <c r="B40">
        <v>23</v>
      </c>
      <c r="C40" t="s">
        <v>24</v>
      </c>
      <c r="D40" t="s">
        <v>28</v>
      </c>
      <c r="E40" t="s">
        <v>88</v>
      </c>
      <c r="F40" t="s">
        <v>15</v>
      </c>
      <c r="G40">
        <v>5</v>
      </c>
      <c r="H40">
        <v>14</v>
      </c>
      <c r="I40" t="s">
        <v>31</v>
      </c>
      <c r="J40" t="s">
        <v>17</v>
      </c>
      <c r="K40">
        <v>10</v>
      </c>
      <c r="L40" t="str">
        <f t="shared" si="0"/>
        <v>18-25</v>
      </c>
      <c r="M40" t="str">
        <f t="shared" si="1"/>
        <v>Binge Watcher</v>
      </c>
      <c r="N40" t="str">
        <f t="shared" si="2"/>
        <v>High</v>
      </c>
    </row>
    <row r="41" spans="1:14" ht="15.75" customHeight="1">
      <c r="A41" t="s">
        <v>94</v>
      </c>
      <c r="B41">
        <v>18</v>
      </c>
      <c r="C41" t="s">
        <v>24</v>
      </c>
      <c r="D41" t="s">
        <v>13</v>
      </c>
      <c r="E41" t="s">
        <v>95</v>
      </c>
      <c r="F41" t="s">
        <v>50</v>
      </c>
      <c r="G41">
        <v>2</v>
      </c>
      <c r="H41">
        <v>6</v>
      </c>
      <c r="I41" t="s">
        <v>22</v>
      </c>
      <c r="J41" t="s">
        <v>32</v>
      </c>
      <c r="K41">
        <v>9</v>
      </c>
      <c r="L41" t="str">
        <f t="shared" si="0"/>
        <v>18-25</v>
      </c>
      <c r="M41" t="str">
        <f t="shared" si="1"/>
        <v>Casual Viewer</v>
      </c>
      <c r="N41" t="str">
        <f t="shared" si="2"/>
        <v>Medium</v>
      </c>
    </row>
    <row r="42" spans="1:14" ht="15.75" customHeight="1">
      <c r="A42" t="s">
        <v>96</v>
      </c>
      <c r="B42">
        <v>22</v>
      </c>
      <c r="C42" t="s">
        <v>12</v>
      </c>
      <c r="D42" t="s">
        <v>13</v>
      </c>
      <c r="E42" t="s">
        <v>95</v>
      </c>
      <c r="F42" t="s">
        <v>50</v>
      </c>
      <c r="G42">
        <v>4</v>
      </c>
      <c r="H42">
        <v>6</v>
      </c>
      <c r="I42" t="s">
        <v>22</v>
      </c>
      <c r="J42" t="s">
        <v>32</v>
      </c>
      <c r="K42">
        <v>9</v>
      </c>
      <c r="L42" t="str">
        <f t="shared" si="0"/>
        <v>18-25</v>
      </c>
      <c r="M42" t="str">
        <f t="shared" si="1"/>
        <v>Regular Viewer</v>
      </c>
      <c r="N42" t="str">
        <f t="shared" si="2"/>
        <v>Medium</v>
      </c>
    </row>
    <row r="43" spans="1:14" ht="15.75" customHeight="1">
      <c r="A43" t="s">
        <v>97</v>
      </c>
      <c r="B43">
        <v>19</v>
      </c>
      <c r="C43" t="s">
        <v>24</v>
      </c>
      <c r="D43" t="s">
        <v>28</v>
      </c>
      <c r="E43" t="s">
        <v>98</v>
      </c>
      <c r="F43" t="s">
        <v>50</v>
      </c>
      <c r="G43">
        <v>3</v>
      </c>
      <c r="H43">
        <v>14</v>
      </c>
      <c r="I43" t="s">
        <v>31</v>
      </c>
      <c r="J43" t="s">
        <v>32</v>
      </c>
      <c r="K43">
        <v>9</v>
      </c>
      <c r="L43" t="str">
        <f t="shared" si="0"/>
        <v>18-25</v>
      </c>
      <c r="M43" t="str">
        <f t="shared" si="1"/>
        <v>Regular Viewer</v>
      </c>
      <c r="N43" t="str">
        <f t="shared" si="2"/>
        <v>High</v>
      </c>
    </row>
    <row r="44" spans="1:14" ht="15.75" customHeight="1">
      <c r="A44" t="s">
        <v>99</v>
      </c>
      <c r="B44">
        <v>34</v>
      </c>
      <c r="C44" t="s">
        <v>12</v>
      </c>
      <c r="D44" t="s">
        <v>58</v>
      </c>
      <c r="E44" t="s">
        <v>52</v>
      </c>
      <c r="F44" t="s">
        <v>53</v>
      </c>
      <c r="G44">
        <v>4</v>
      </c>
      <c r="H44">
        <v>4</v>
      </c>
      <c r="I44" t="s">
        <v>31</v>
      </c>
      <c r="J44" t="s">
        <v>17</v>
      </c>
      <c r="K44">
        <v>10</v>
      </c>
      <c r="L44" t="str">
        <f t="shared" si="0"/>
        <v>26-35</v>
      </c>
      <c r="M44" t="str">
        <f t="shared" si="1"/>
        <v>Regular Viewer</v>
      </c>
      <c r="N44" t="str">
        <f t="shared" si="2"/>
        <v>Low</v>
      </c>
    </row>
    <row r="45" spans="1:14" ht="15.75" customHeight="1">
      <c r="A45" t="s">
        <v>100</v>
      </c>
      <c r="B45">
        <v>20</v>
      </c>
      <c r="C45" t="s">
        <v>12</v>
      </c>
      <c r="D45" t="s">
        <v>62</v>
      </c>
      <c r="E45" t="s">
        <v>29</v>
      </c>
      <c r="F45" t="s">
        <v>30</v>
      </c>
      <c r="G45">
        <v>4</v>
      </c>
      <c r="H45">
        <v>10</v>
      </c>
      <c r="I45" t="s">
        <v>22</v>
      </c>
      <c r="J45" t="s">
        <v>17</v>
      </c>
      <c r="K45">
        <v>10</v>
      </c>
      <c r="L45" t="str">
        <f t="shared" si="0"/>
        <v>18-25</v>
      </c>
      <c r="M45" t="str">
        <f t="shared" si="1"/>
        <v>Regular Viewer</v>
      </c>
      <c r="N45" t="str">
        <f t="shared" si="2"/>
        <v>Medium</v>
      </c>
    </row>
    <row r="46" spans="1:14" ht="15.75" customHeight="1">
      <c r="A46" t="s">
        <v>101</v>
      </c>
      <c r="B46">
        <v>24</v>
      </c>
      <c r="C46" t="s">
        <v>24</v>
      </c>
      <c r="D46" t="s">
        <v>42</v>
      </c>
      <c r="E46" t="s">
        <v>102</v>
      </c>
      <c r="F46" t="s">
        <v>103</v>
      </c>
      <c r="G46">
        <v>2</v>
      </c>
      <c r="H46">
        <v>2</v>
      </c>
      <c r="I46" t="s">
        <v>22</v>
      </c>
      <c r="J46" t="s">
        <v>32</v>
      </c>
      <c r="K46">
        <v>9</v>
      </c>
      <c r="L46" t="str">
        <f t="shared" si="0"/>
        <v>18-25</v>
      </c>
      <c r="M46" t="str">
        <f t="shared" si="1"/>
        <v>Casual Viewer</v>
      </c>
      <c r="N46" t="str">
        <f t="shared" si="2"/>
        <v>Low</v>
      </c>
    </row>
    <row r="47" spans="1:14" ht="15.75" customHeight="1">
      <c r="A47" t="s">
        <v>104</v>
      </c>
      <c r="B47">
        <v>20</v>
      </c>
      <c r="C47" t="s">
        <v>24</v>
      </c>
      <c r="D47" t="s">
        <v>58</v>
      </c>
      <c r="E47" t="s">
        <v>35</v>
      </c>
      <c r="F47" t="s">
        <v>36</v>
      </c>
      <c r="G47">
        <v>1</v>
      </c>
      <c r="H47">
        <v>10</v>
      </c>
      <c r="I47" t="s">
        <v>22</v>
      </c>
      <c r="J47" t="s">
        <v>17</v>
      </c>
      <c r="K47">
        <v>8</v>
      </c>
      <c r="L47" t="str">
        <f t="shared" si="0"/>
        <v>18-25</v>
      </c>
      <c r="M47" t="str">
        <f t="shared" si="1"/>
        <v>Casual Viewer</v>
      </c>
      <c r="N47" t="str">
        <f t="shared" si="2"/>
        <v>Medium</v>
      </c>
    </row>
    <row r="48" spans="1:14" ht="15.75" customHeight="1">
      <c r="A48" t="s">
        <v>105</v>
      </c>
      <c r="B48">
        <v>22</v>
      </c>
      <c r="C48" t="s">
        <v>24</v>
      </c>
      <c r="D48" t="s">
        <v>38</v>
      </c>
      <c r="E48" t="s">
        <v>43</v>
      </c>
      <c r="F48" t="s">
        <v>30</v>
      </c>
      <c r="G48">
        <v>3</v>
      </c>
      <c r="H48">
        <v>9</v>
      </c>
      <c r="I48" t="s">
        <v>22</v>
      </c>
      <c r="J48" t="s">
        <v>32</v>
      </c>
      <c r="K48">
        <v>4</v>
      </c>
      <c r="L48" t="str">
        <f t="shared" si="0"/>
        <v>18-25</v>
      </c>
      <c r="M48" t="str">
        <f t="shared" si="1"/>
        <v>Regular Viewer</v>
      </c>
      <c r="N48" t="str">
        <f t="shared" si="2"/>
        <v>Medium</v>
      </c>
    </row>
    <row r="49" spans="1:14" ht="15.75" customHeight="1">
      <c r="A49" t="s">
        <v>106</v>
      </c>
      <c r="B49">
        <v>22</v>
      </c>
      <c r="C49" t="s">
        <v>24</v>
      </c>
      <c r="D49" t="s">
        <v>28</v>
      </c>
      <c r="E49" t="s">
        <v>43</v>
      </c>
      <c r="F49" t="s">
        <v>30</v>
      </c>
      <c r="G49">
        <v>4</v>
      </c>
      <c r="H49">
        <v>13</v>
      </c>
      <c r="I49" t="s">
        <v>22</v>
      </c>
      <c r="J49" t="s">
        <v>17</v>
      </c>
      <c r="K49">
        <v>7</v>
      </c>
      <c r="L49" t="str">
        <f t="shared" si="0"/>
        <v>18-25</v>
      </c>
      <c r="M49" t="str">
        <f t="shared" si="1"/>
        <v>Regular Viewer</v>
      </c>
      <c r="N49" t="str">
        <f t="shared" si="2"/>
        <v>High</v>
      </c>
    </row>
    <row r="50" spans="1:14" ht="15.75" customHeight="1">
      <c r="A50" t="s">
        <v>107</v>
      </c>
      <c r="B50">
        <v>60</v>
      </c>
      <c r="C50" t="s">
        <v>24</v>
      </c>
      <c r="D50" t="s">
        <v>38</v>
      </c>
      <c r="E50" t="s">
        <v>78</v>
      </c>
      <c r="F50" t="s">
        <v>15</v>
      </c>
      <c r="G50">
        <v>2</v>
      </c>
      <c r="H50">
        <v>14</v>
      </c>
      <c r="I50" t="s">
        <v>22</v>
      </c>
      <c r="J50" t="s">
        <v>17</v>
      </c>
      <c r="K50">
        <v>2</v>
      </c>
      <c r="L50" t="str">
        <f t="shared" si="0"/>
        <v>46+</v>
      </c>
      <c r="M50" t="str">
        <f t="shared" si="1"/>
        <v>Casual Viewer</v>
      </c>
      <c r="N50" t="str">
        <f t="shared" si="2"/>
        <v>High</v>
      </c>
    </row>
    <row r="51" spans="1:14" ht="15.75" customHeight="1">
      <c r="A51" t="s">
        <v>108</v>
      </c>
      <c r="B51">
        <v>22</v>
      </c>
      <c r="C51" t="s">
        <v>12</v>
      </c>
      <c r="D51" t="s">
        <v>34</v>
      </c>
      <c r="E51" t="s">
        <v>20</v>
      </c>
      <c r="F51" t="s">
        <v>21</v>
      </c>
      <c r="G51">
        <v>3</v>
      </c>
      <c r="H51">
        <v>7</v>
      </c>
      <c r="I51" t="s">
        <v>22</v>
      </c>
      <c r="J51" t="s">
        <v>17</v>
      </c>
      <c r="K51">
        <v>5</v>
      </c>
      <c r="L51" t="str">
        <f t="shared" si="0"/>
        <v>18-25</v>
      </c>
      <c r="M51" t="str">
        <f t="shared" si="1"/>
        <v>Regular Viewer</v>
      </c>
      <c r="N51" t="str">
        <f t="shared" si="2"/>
        <v>Medium</v>
      </c>
    </row>
    <row r="52" spans="1:14" ht="15.75" customHeight="1">
      <c r="A52" t="s">
        <v>109</v>
      </c>
      <c r="B52">
        <v>24</v>
      </c>
      <c r="C52" t="s">
        <v>12</v>
      </c>
      <c r="D52" t="s">
        <v>34</v>
      </c>
      <c r="E52" t="s">
        <v>45</v>
      </c>
      <c r="F52" t="s">
        <v>30</v>
      </c>
      <c r="G52">
        <v>5</v>
      </c>
      <c r="H52">
        <v>14</v>
      </c>
      <c r="I52" t="s">
        <v>31</v>
      </c>
      <c r="J52" t="s">
        <v>17</v>
      </c>
      <c r="K52">
        <v>4</v>
      </c>
      <c r="L52" t="str">
        <f t="shared" si="0"/>
        <v>18-25</v>
      </c>
      <c r="M52" t="str">
        <f t="shared" si="1"/>
        <v>Binge Watcher</v>
      </c>
      <c r="N52" t="str">
        <f t="shared" si="2"/>
        <v>High</v>
      </c>
    </row>
    <row r="53" spans="1:14" ht="15.75" customHeight="1">
      <c r="A53" t="s">
        <v>110</v>
      </c>
      <c r="B53">
        <v>32</v>
      </c>
      <c r="C53" t="s">
        <v>24</v>
      </c>
      <c r="D53" t="s">
        <v>19</v>
      </c>
      <c r="E53" t="s">
        <v>14</v>
      </c>
      <c r="F53" t="s">
        <v>15</v>
      </c>
      <c r="G53">
        <v>5</v>
      </c>
      <c r="H53">
        <v>11</v>
      </c>
      <c r="I53" t="s">
        <v>22</v>
      </c>
      <c r="J53" t="s">
        <v>17</v>
      </c>
      <c r="K53">
        <v>9</v>
      </c>
      <c r="L53" t="str">
        <f t="shared" si="0"/>
        <v>26-35</v>
      </c>
      <c r="M53" t="str">
        <f t="shared" si="1"/>
        <v>Binge Watcher</v>
      </c>
      <c r="N53" t="str">
        <f t="shared" si="2"/>
        <v>High</v>
      </c>
    </row>
    <row r="54" spans="1:14" ht="15.75" customHeight="1">
      <c r="A54" t="s">
        <v>111</v>
      </c>
      <c r="B54">
        <v>21</v>
      </c>
      <c r="C54" t="s">
        <v>24</v>
      </c>
      <c r="D54" t="s">
        <v>62</v>
      </c>
      <c r="E54" t="s">
        <v>95</v>
      </c>
      <c r="F54" t="s">
        <v>50</v>
      </c>
      <c r="G54">
        <v>3</v>
      </c>
      <c r="H54">
        <v>14</v>
      </c>
      <c r="I54" t="s">
        <v>22</v>
      </c>
      <c r="J54" t="s">
        <v>17</v>
      </c>
      <c r="K54">
        <v>9</v>
      </c>
      <c r="L54" t="str">
        <f t="shared" si="0"/>
        <v>18-25</v>
      </c>
      <c r="M54" t="str">
        <f t="shared" si="1"/>
        <v>Regular Viewer</v>
      </c>
      <c r="N54" t="str">
        <f t="shared" si="2"/>
        <v>High</v>
      </c>
    </row>
    <row r="55" spans="1:14" ht="15.75" customHeight="1">
      <c r="A55" t="s">
        <v>112</v>
      </c>
      <c r="B55">
        <v>22</v>
      </c>
      <c r="C55" t="s">
        <v>12</v>
      </c>
      <c r="D55" t="s">
        <v>28</v>
      </c>
      <c r="E55" t="s">
        <v>86</v>
      </c>
      <c r="F55" t="s">
        <v>53</v>
      </c>
      <c r="G55">
        <v>5</v>
      </c>
      <c r="H55">
        <v>13</v>
      </c>
      <c r="I55" t="s">
        <v>22</v>
      </c>
      <c r="J55" t="s">
        <v>32</v>
      </c>
      <c r="K55">
        <v>9</v>
      </c>
      <c r="L55" t="str">
        <f t="shared" si="0"/>
        <v>18-25</v>
      </c>
      <c r="M55" t="str">
        <f t="shared" si="1"/>
        <v>Binge Watcher</v>
      </c>
      <c r="N55" t="str">
        <f t="shared" si="2"/>
        <v>High</v>
      </c>
    </row>
    <row r="56" spans="1:14" ht="15.75" customHeight="1">
      <c r="A56" t="s">
        <v>113</v>
      </c>
      <c r="B56">
        <v>36</v>
      </c>
      <c r="C56" t="s">
        <v>12</v>
      </c>
      <c r="D56" t="s">
        <v>42</v>
      </c>
      <c r="E56" t="s">
        <v>25</v>
      </c>
      <c r="F56" t="s">
        <v>26</v>
      </c>
      <c r="G56">
        <v>5</v>
      </c>
      <c r="H56">
        <v>6</v>
      </c>
      <c r="I56" t="s">
        <v>22</v>
      </c>
      <c r="J56" t="s">
        <v>17</v>
      </c>
      <c r="K56">
        <v>8</v>
      </c>
      <c r="L56" t="str">
        <f t="shared" si="0"/>
        <v>36-45</v>
      </c>
      <c r="M56" t="str">
        <f t="shared" si="1"/>
        <v>Binge Watcher</v>
      </c>
      <c r="N56" t="str">
        <f t="shared" si="2"/>
        <v>Medium</v>
      </c>
    </row>
    <row r="57" spans="1:14" ht="15.75" customHeight="1">
      <c r="A57" t="s">
        <v>114</v>
      </c>
      <c r="B57">
        <v>22</v>
      </c>
      <c r="C57" t="s">
        <v>24</v>
      </c>
      <c r="D57" t="s">
        <v>62</v>
      </c>
      <c r="E57" t="s">
        <v>25</v>
      </c>
      <c r="F57" t="s">
        <v>26</v>
      </c>
      <c r="G57">
        <v>1</v>
      </c>
      <c r="H57">
        <v>5</v>
      </c>
      <c r="I57" t="s">
        <v>22</v>
      </c>
      <c r="J57" t="s">
        <v>17</v>
      </c>
      <c r="K57">
        <v>4</v>
      </c>
      <c r="L57" t="str">
        <f t="shared" si="0"/>
        <v>18-25</v>
      </c>
      <c r="M57" t="str">
        <f t="shared" si="1"/>
        <v>Casual Viewer</v>
      </c>
      <c r="N57" t="str">
        <f t="shared" si="2"/>
        <v>Low</v>
      </c>
    </row>
    <row r="58" spans="1:14" ht="15.75" customHeight="1">
      <c r="A58" t="s">
        <v>115</v>
      </c>
      <c r="B58">
        <v>23</v>
      </c>
      <c r="C58" t="s">
        <v>12</v>
      </c>
      <c r="D58" t="s">
        <v>13</v>
      </c>
      <c r="E58" t="s">
        <v>49</v>
      </c>
      <c r="F58" t="s">
        <v>50</v>
      </c>
      <c r="G58">
        <v>2</v>
      </c>
      <c r="H58">
        <v>14</v>
      </c>
      <c r="I58" t="s">
        <v>22</v>
      </c>
      <c r="J58" t="s">
        <v>17</v>
      </c>
      <c r="K58">
        <v>9</v>
      </c>
      <c r="L58" t="str">
        <f t="shared" si="0"/>
        <v>18-25</v>
      </c>
      <c r="M58" t="str">
        <f t="shared" si="1"/>
        <v>Casual Viewer</v>
      </c>
      <c r="N58" t="str">
        <f t="shared" si="2"/>
        <v>High</v>
      </c>
    </row>
    <row r="59" spans="1:14" ht="15.75" customHeight="1">
      <c r="A59" t="s">
        <v>116</v>
      </c>
      <c r="B59">
        <v>23</v>
      </c>
      <c r="C59" t="s">
        <v>12</v>
      </c>
      <c r="D59" t="s">
        <v>38</v>
      </c>
      <c r="E59" t="s">
        <v>67</v>
      </c>
      <c r="F59" t="s">
        <v>30</v>
      </c>
      <c r="G59">
        <v>4</v>
      </c>
      <c r="H59">
        <v>9</v>
      </c>
      <c r="I59" t="s">
        <v>22</v>
      </c>
      <c r="J59" t="s">
        <v>32</v>
      </c>
      <c r="K59">
        <v>2</v>
      </c>
      <c r="L59" t="str">
        <f t="shared" si="0"/>
        <v>18-25</v>
      </c>
      <c r="M59" t="str">
        <f t="shared" si="1"/>
        <v>Regular Viewer</v>
      </c>
      <c r="N59" t="str">
        <f t="shared" si="2"/>
        <v>Medium</v>
      </c>
    </row>
    <row r="60" spans="1:14" ht="15.75" customHeight="1">
      <c r="A60" t="s">
        <v>117</v>
      </c>
      <c r="B60">
        <v>19</v>
      </c>
      <c r="C60" t="s">
        <v>12</v>
      </c>
      <c r="D60" t="s">
        <v>13</v>
      </c>
      <c r="E60" t="s">
        <v>55</v>
      </c>
      <c r="F60" t="s">
        <v>56</v>
      </c>
      <c r="G60">
        <v>2</v>
      </c>
      <c r="H60">
        <v>5</v>
      </c>
      <c r="I60" t="s">
        <v>22</v>
      </c>
      <c r="J60" t="s">
        <v>32</v>
      </c>
      <c r="K60">
        <v>3</v>
      </c>
      <c r="L60" t="str">
        <f t="shared" si="0"/>
        <v>18-25</v>
      </c>
      <c r="M60" t="str">
        <f t="shared" si="1"/>
        <v>Casual Viewer</v>
      </c>
      <c r="N60" t="str">
        <f t="shared" si="2"/>
        <v>Low</v>
      </c>
    </row>
    <row r="61" spans="1:14" ht="15.75" customHeight="1">
      <c r="A61" t="s">
        <v>118</v>
      </c>
      <c r="B61">
        <v>24</v>
      </c>
      <c r="C61" t="s">
        <v>12</v>
      </c>
      <c r="D61" t="s">
        <v>13</v>
      </c>
      <c r="E61" t="s">
        <v>65</v>
      </c>
      <c r="F61" t="s">
        <v>50</v>
      </c>
      <c r="G61">
        <v>2</v>
      </c>
      <c r="H61">
        <v>5</v>
      </c>
      <c r="I61" t="s">
        <v>22</v>
      </c>
      <c r="J61" t="s">
        <v>32</v>
      </c>
      <c r="K61">
        <v>9</v>
      </c>
      <c r="L61" t="str">
        <f t="shared" si="0"/>
        <v>18-25</v>
      </c>
      <c r="M61" t="str">
        <f t="shared" si="1"/>
        <v>Casual Viewer</v>
      </c>
      <c r="N61" t="str">
        <f t="shared" si="2"/>
        <v>Low</v>
      </c>
    </row>
    <row r="62" spans="1:14" ht="15.75" customHeight="1">
      <c r="A62" t="s">
        <v>119</v>
      </c>
      <c r="B62">
        <v>23</v>
      </c>
      <c r="C62" t="s">
        <v>24</v>
      </c>
      <c r="D62" t="s">
        <v>28</v>
      </c>
      <c r="E62" t="s">
        <v>25</v>
      </c>
      <c r="F62" t="s">
        <v>26</v>
      </c>
      <c r="G62">
        <v>1</v>
      </c>
      <c r="H62">
        <v>12</v>
      </c>
      <c r="I62" t="s">
        <v>31</v>
      </c>
      <c r="J62" t="s">
        <v>32</v>
      </c>
      <c r="K62">
        <v>1</v>
      </c>
      <c r="L62" t="str">
        <f t="shared" si="0"/>
        <v>18-25</v>
      </c>
      <c r="M62" t="str">
        <f t="shared" si="1"/>
        <v>Casual Viewer</v>
      </c>
      <c r="N62" t="str">
        <f t="shared" si="2"/>
        <v>High</v>
      </c>
    </row>
    <row r="63" spans="1:14" ht="15.75" customHeight="1">
      <c r="A63" t="s">
        <v>120</v>
      </c>
      <c r="B63">
        <v>30</v>
      </c>
      <c r="C63" t="s">
        <v>24</v>
      </c>
      <c r="D63" t="s">
        <v>40</v>
      </c>
      <c r="E63" t="s">
        <v>70</v>
      </c>
      <c r="F63" t="s">
        <v>15</v>
      </c>
      <c r="G63">
        <v>2</v>
      </c>
      <c r="H63">
        <v>15</v>
      </c>
      <c r="I63" t="s">
        <v>22</v>
      </c>
      <c r="J63" t="s">
        <v>17</v>
      </c>
      <c r="K63">
        <v>9</v>
      </c>
      <c r="L63" t="str">
        <f t="shared" si="0"/>
        <v>26-35</v>
      </c>
      <c r="M63" t="str">
        <f t="shared" si="1"/>
        <v>Casual Viewer</v>
      </c>
      <c r="N63" t="str">
        <f t="shared" si="2"/>
        <v>High</v>
      </c>
    </row>
    <row r="64" spans="1:14" ht="15.75" customHeight="1">
      <c r="A64" t="s">
        <v>121</v>
      </c>
      <c r="B64">
        <v>25</v>
      </c>
      <c r="C64" t="s">
        <v>24</v>
      </c>
      <c r="D64" t="s">
        <v>58</v>
      </c>
      <c r="E64" t="s">
        <v>35</v>
      </c>
      <c r="F64" t="s">
        <v>36</v>
      </c>
      <c r="G64">
        <v>1</v>
      </c>
      <c r="H64">
        <v>6</v>
      </c>
      <c r="I64" t="s">
        <v>22</v>
      </c>
      <c r="J64" t="s">
        <v>32</v>
      </c>
      <c r="K64">
        <v>8</v>
      </c>
      <c r="L64" t="str">
        <f t="shared" si="0"/>
        <v>18-25</v>
      </c>
      <c r="M64" t="str">
        <f t="shared" si="1"/>
        <v>Casual Viewer</v>
      </c>
      <c r="N64" t="str">
        <f t="shared" si="2"/>
        <v>Medium</v>
      </c>
    </row>
    <row r="65" spans="1:14" ht="15.75" customHeight="1">
      <c r="A65" t="s">
        <v>122</v>
      </c>
      <c r="B65">
        <v>20</v>
      </c>
      <c r="C65" t="s">
        <v>12</v>
      </c>
      <c r="D65" t="s">
        <v>40</v>
      </c>
      <c r="E65" t="s">
        <v>65</v>
      </c>
      <c r="F65" t="s">
        <v>50</v>
      </c>
      <c r="G65">
        <v>5</v>
      </c>
      <c r="H65">
        <v>13</v>
      </c>
      <c r="I65" t="s">
        <v>22</v>
      </c>
      <c r="J65" t="s">
        <v>32</v>
      </c>
      <c r="K65">
        <v>9</v>
      </c>
      <c r="L65" t="str">
        <f t="shared" si="0"/>
        <v>18-25</v>
      </c>
      <c r="M65" t="str">
        <f t="shared" si="1"/>
        <v>Binge Watcher</v>
      </c>
      <c r="N65" t="str">
        <f t="shared" si="2"/>
        <v>High</v>
      </c>
    </row>
    <row r="66" spans="1:14" ht="15.75" customHeight="1">
      <c r="A66" t="s">
        <v>123</v>
      </c>
      <c r="B66">
        <v>25</v>
      </c>
      <c r="C66" t="s">
        <v>12</v>
      </c>
      <c r="D66" t="s">
        <v>13</v>
      </c>
      <c r="E66" t="s">
        <v>67</v>
      </c>
      <c r="F66" t="s">
        <v>30</v>
      </c>
      <c r="G66">
        <v>1</v>
      </c>
      <c r="H66">
        <v>12</v>
      </c>
      <c r="I66" t="s">
        <v>22</v>
      </c>
      <c r="J66" t="s">
        <v>32</v>
      </c>
      <c r="K66">
        <v>10</v>
      </c>
      <c r="L66" t="str">
        <f t="shared" si="0"/>
        <v>18-25</v>
      </c>
      <c r="M66" t="str">
        <f t="shared" si="1"/>
        <v>Casual Viewer</v>
      </c>
      <c r="N66" t="str">
        <f t="shared" si="2"/>
        <v>High</v>
      </c>
    </row>
    <row r="67" spans="1:14" ht="15.75" customHeight="1">
      <c r="A67" t="s">
        <v>124</v>
      </c>
      <c r="B67">
        <v>22</v>
      </c>
      <c r="C67" t="s">
        <v>12</v>
      </c>
      <c r="D67" t="s">
        <v>42</v>
      </c>
      <c r="E67" t="s">
        <v>125</v>
      </c>
      <c r="F67" t="s">
        <v>126</v>
      </c>
      <c r="G67">
        <v>3</v>
      </c>
      <c r="H67">
        <v>2</v>
      </c>
      <c r="I67" t="s">
        <v>22</v>
      </c>
      <c r="J67" t="s">
        <v>17</v>
      </c>
      <c r="K67">
        <v>6</v>
      </c>
      <c r="L67" t="str">
        <f t="shared" ref="L67:L130" si="3">IF(B67&lt;=25,"18-25",IF(B67&lt;=35,"26-35",IF(B67&lt;=45,"36-45","46+")))</f>
        <v>18-25</v>
      </c>
      <c r="M67" t="str">
        <f t="shared" ref="M67:M130" si="4">IF(G67&lt;=2,"Casual Viewer",IF(G67&lt;=4,"Regular Viewer","Binge Watcher"))</f>
        <v>Regular Viewer</v>
      </c>
      <c r="N67" t="str">
        <f t="shared" ref="N67:N130" si="5">IF(H67&lt;=5,"Low",IF(H67&lt;=10,"Medium","High"))</f>
        <v>Low</v>
      </c>
    </row>
    <row r="68" spans="1:14" ht="15.75" customHeight="1">
      <c r="A68" t="s">
        <v>127</v>
      </c>
      <c r="B68">
        <v>27</v>
      </c>
      <c r="C68" t="s">
        <v>24</v>
      </c>
      <c r="D68" t="s">
        <v>13</v>
      </c>
      <c r="E68" t="s">
        <v>14</v>
      </c>
      <c r="F68" t="s">
        <v>15</v>
      </c>
      <c r="G68">
        <v>4</v>
      </c>
      <c r="H68">
        <v>3</v>
      </c>
      <c r="I68" t="s">
        <v>22</v>
      </c>
      <c r="J68" t="s">
        <v>17</v>
      </c>
      <c r="K68">
        <v>9</v>
      </c>
      <c r="L68" t="str">
        <f t="shared" si="3"/>
        <v>26-35</v>
      </c>
      <c r="M68" t="str">
        <f t="shared" si="4"/>
        <v>Regular Viewer</v>
      </c>
      <c r="N68" t="str">
        <f t="shared" si="5"/>
        <v>Low</v>
      </c>
    </row>
    <row r="69" spans="1:14" ht="15.75" customHeight="1">
      <c r="A69" t="s">
        <v>128</v>
      </c>
      <c r="B69">
        <v>55</v>
      </c>
      <c r="C69" t="s">
        <v>24</v>
      </c>
      <c r="D69" t="s">
        <v>58</v>
      </c>
      <c r="E69" t="s">
        <v>52</v>
      </c>
      <c r="F69" t="s">
        <v>53</v>
      </c>
      <c r="G69">
        <v>1</v>
      </c>
      <c r="H69">
        <v>2</v>
      </c>
      <c r="I69" t="s">
        <v>22</v>
      </c>
      <c r="J69" t="s">
        <v>17</v>
      </c>
      <c r="K69">
        <v>9</v>
      </c>
      <c r="L69" t="str">
        <f t="shared" si="3"/>
        <v>46+</v>
      </c>
      <c r="M69" t="str">
        <f t="shared" si="4"/>
        <v>Casual Viewer</v>
      </c>
      <c r="N69" t="str">
        <f t="shared" si="5"/>
        <v>Low</v>
      </c>
    </row>
    <row r="70" spans="1:14" ht="15.75" customHeight="1">
      <c r="A70" t="s">
        <v>129</v>
      </c>
      <c r="B70">
        <v>20</v>
      </c>
      <c r="C70" t="s">
        <v>24</v>
      </c>
      <c r="D70" t="s">
        <v>42</v>
      </c>
      <c r="E70" t="s">
        <v>52</v>
      </c>
      <c r="F70" t="s">
        <v>53</v>
      </c>
      <c r="G70">
        <v>2</v>
      </c>
      <c r="H70">
        <v>4</v>
      </c>
      <c r="I70" t="s">
        <v>22</v>
      </c>
      <c r="J70" t="s">
        <v>17</v>
      </c>
      <c r="K70">
        <v>9</v>
      </c>
      <c r="L70" t="str">
        <f t="shared" si="3"/>
        <v>18-25</v>
      </c>
      <c r="M70" t="str">
        <f t="shared" si="4"/>
        <v>Casual Viewer</v>
      </c>
      <c r="N70" t="str">
        <f t="shared" si="5"/>
        <v>Low</v>
      </c>
    </row>
    <row r="71" spans="1:14" ht="15.75" customHeight="1">
      <c r="A71" t="s">
        <v>130</v>
      </c>
      <c r="B71">
        <v>22</v>
      </c>
      <c r="C71" t="s">
        <v>24</v>
      </c>
      <c r="D71" t="s">
        <v>34</v>
      </c>
      <c r="E71" t="s">
        <v>55</v>
      </c>
      <c r="F71" t="s">
        <v>56</v>
      </c>
      <c r="G71">
        <v>5</v>
      </c>
      <c r="H71">
        <v>15</v>
      </c>
      <c r="I71" t="s">
        <v>22</v>
      </c>
      <c r="J71" t="s">
        <v>32</v>
      </c>
      <c r="K71">
        <v>3</v>
      </c>
      <c r="L71" t="str">
        <f t="shared" si="3"/>
        <v>18-25</v>
      </c>
      <c r="M71" t="str">
        <f t="shared" si="4"/>
        <v>Binge Watcher</v>
      </c>
      <c r="N71" t="str">
        <f t="shared" si="5"/>
        <v>High</v>
      </c>
    </row>
    <row r="72" spans="1:14" ht="15.75" customHeight="1">
      <c r="A72" t="s">
        <v>131</v>
      </c>
      <c r="B72">
        <v>35</v>
      </c>
      <c r="C72" t="s">
        <v>12</v>
      </c>
      <c r="D72" t="s">
        <v>40</v>
      </c>
      <c r="E72" t="s">
        <v>25</v>
      </c>
      <c r="F72" t="s">
        <v>26</v>
      </c>
      <c r="G72">
        <v>4</v>
      </c>
      <c r="H72">
        <v>13</v>
      </c>
      <c r="I72" t="s">
        <v>22</v>
      </c>
      <c r="J72" t="s">
        <v>32</v>
      </c>
      <c r="K72">
        <v>10</v>
      </c>
      <c r="L72" t="str">
        <f t="shared" si="3"/>
        <v>26-35</v>
      </c>
      <c r="M72" t="str">
        <f t="shared" si="4"/>
        <v>Regular Viewer</v>
      </c>
      <c r="N72" t="str">
        <f t="shared" si="5"/>
        <v>High</v>
      </c>
    </row>
    <row r="73" spans="1:14" ht="15.75" customHeight="1">
      <c r="A73" t="s">
        <v>132</v>
      </c>
      <c r="B73">
        <v>18</v>
      </c>
      <c r="C73" t="s">
        <v>12</v>
      </c>
      <c r="D73" t="s">
        <v>38</v>
      </c>
      <c r="E73" t="s">
        <v>95</v>
      </c>
      <c r="F73" t="s">
        <v>50</v>
      </c>
      <c r="G73">
        <v>4</v>
      </c>
      <c r="H73">
        <v>5</v>
      </c>
      <c r="I73" t="s">
        <v>22</v>
      </c>
      <c r="J73" t="s">
        <v>17</v>
      </c>
      <c r="K73">
        <v>9</v>
      </c>
      <c r="L73" t="str">
        <f t="shared" si="3"/>
        <v>18-25</v>
      </c>
      <c r="M73" t="str">
        <f t="shared" si="4"/>
        <v>Regular Viewer</v>
      </c>
      <c r="N73" t="str">
        <f t="shared" si="5"/>
        <v>Low</v>
      </c>
    </row>
    <row r="74" spans="1:14" ht="15.75" customHeight="1">
      <c r="A74" t="s">
        <v>133</v>
      </c>
      <c r="B74">
        <v>22</v>
      </c>
      <c r="C74" t="s">
        <v>12</v>
      </c>
      <c r="D74" t="s">
        <v>19</v>
      </c>
      <c r="E74" t="s">
        <v>98</v>
      </c>
      <c r="F74" t="s">
        <v>50</v>
      </c>
      <c r="G74">
        <v>5</v>
      </c>
      <c r="H74">
        <v>9</v>
      </c>
      <c r="I74" t="s">
        <v>22</v>
      </c>
      <c r="J74" t="s">
        <v>32</v>
      </c>
      <c r="K74">
        <v>9</v>
      </c>
      <c r="L74" t="str">
        <f t="shared" si="3"/>
        <v>18-25</v>
      </c>
      <c r="M74" t="str">
        <f t="shared" si="4"/>
        <v>Binge Watcher</v>
      </c>
      <c r="N74" t="str">
        <f t="shared" si="5"/>
        <v>Medium</v>
      </c>
    </row>
    <row r="75" spans="1:14" ht="15.75" customHeight="1">
      <c r="A75" t="s">
        <v>134</v>
      </c>
      <c r="B75">
        <v>34</v>
      </c>
      <c r="C75" t="s">
        <v>12</v>
      </c>
      <c r="D75" t="s">
        <v>19</v>
      </c>
      <c r="E75" t="s">
        <v>14</v>
      </c>
      <c r="F75" t="s">
        <v>15</v>
      </c>
      <c r="G75">
        <v>4</v>
      </c>
      <c r="H75">
        <v>6</v>
      </c>
      <c r="I75" t="s">
        <v>31</v>
      </c>
      <c r="J75" t="s">
        <v>32</v>
      </c>
      <c r="K75">
        <v>9</v>
      </c>
      <c r="L75" t="str">
        <f t="shared" si="3"/>
        <v>26-35</v>
      </c>
      <c r="M75" t="str">
        <f t="shared" si="4"/>
        <v>Regular Viewer</v>
      </c>
      <c r="N75" t="str">
        <f t="shared" si="5"/>
        <v>Medium</v>
      </c>
    </row>
    <row r="76" spans="1:14" ht="15.75" customHeight="1">
      <c r="A76" t="s">
        <v>135</v>
      </c>
      <c r="B76">
        <v>23</v>
      </c>
      <c r="C76" t="s">
        <v>12</v>
      </c>
      <c r="D76" t="s">
        <v>58</v>
      </c>
      <c r="E76" t="s">
        <v>78</v>
      </c>
      <c r="F76" t="s">
        <v>15</v>
      </c>
      <c r="G76">
        <v>1</v>
      </c>
      <c r="H76">
        <v>6</v>
      </c>
      <c r="I76" t="s">
        <v>22</v>
      </c>
      <c r="J76" t="s">
        <v>32</v>
      </c>
      <c r="K76">
        <v>9</v>
      </c>
      <c r="L76" t="str">
        <f t="shared" si="3"/>
        <v>18-25</v>
      </c>
      <c r="M76" t="str">
        <f t="shared" si="4"/>
        <v>Casual Viewer</v>
      </c>
      <c r="N76" t="str">
        <f t="shared" si="5"/>
        <v>Medium</v>
      </c>
    </row>
    <row r="77" spans="1:14" ht="15.75" customHeight="1">
      <c r="A77" t="s">
        <v>136</v>
      </c>
      <c r="B77">
        <v>20</v>
      </c>
      <c r="C77" t="s">
        <v>24</v>
      </c>
      <c r="D77" t="s">
        <v>47</v>
      </c>
      <c r="E77" t="s">
        <v>49</v>
      </c>
      <c r="F77" t="s">
        <v>50</v>
      </c>
      <c r="G77">
        <v>2</v>
      </c>
      <c r="H77">
        <v>13</v>
      </c>
      <c r="I77" t="s">
        <v>22</v>
      </c>
      <c r="J77" t="s">
        <v>32</v>
      </c>
      <c r="K77">
        <v>9</v>
      </c>
      <c r="L77" t="str">
        <f t="shared" si="3"/>
        <v>18-25</v>
      </c>
      <c r="M77" t="str">
        <f t="shared" si="4"/>
        <v>Casual Viewer</v>
      </c>
      <c r="N77" t="str">
        <f t="shared" si="5"/>
        <v>High</v>
      </c>
    </row>
    <row r="78" spans="1:14" ht="15.75" customHeight="1">
      <c r="A78" t="s">
        <v>137</v>
      </c>
      <c r="B78">
        <v>59</v>
      </c>
      <c r="C78" t="s">
        <v>12</v>
      </c>
      <c r="D78" t="s">
        <v>28</v>
      </c>
      <c r="E78" t="s">
        <v>25</v>
      </c>
      <c r="F78" t="s">
        <v>26</v>
      </c>
      <c r="G78">
        <v>1</v>
      </c>
      <c r="H78">
        <v>6</v>
      </c>
      <c r="I78" t="s">
        <v>31</v>
      </c>
      <c r="J78" t="s">
        <v>32</v>
      </c>
      <c r="K78">
        <v>6</v>
      </c>
      <c r="L78" t="str">
        <f t="shared" si="3"/>
        <v>46+</v>
      </c>
      <c r="M78" t="str">
        <f t="shared" si="4"/>
        <v>Casual Viewer</v>
      </c>
      <c r="N78" t="str">
        <f t="shared" si="5"/>
        <v>Medium</v>
      </c>
    </row>
    <row r="79" spans="1:14" ht="15.75" customHeight="1">
      <c r="A79" t="s">
        <v>138</v>
      </c>
      <c r="B79">
        <v>24</v>
      </c>
      <c r="C79" t="s">
        <v>12</v>
      </c>
      <c r="D79" t="s">
        <v>34</v>
      </c>
      <c r="E79" t="s">
        <v>139</v>
      </c>
      <c r="F79" t="s">
        <v>140</v>
      </c>
      <c r="G79">
        <v>4</v>
      </c>
      <c r="H79">
        <v>14</v>
      </c>
      <c r="I79" t="s">
        <v>31</v>
      </c>
      <c r="J79" t="s">
        <v>32</v>
      </c>
      <c r="K79">
        <v>8</v>
      </c>
      <c r="L79" t="str">
        <f t="shared" si="3"/>
        <v>18-25</v>
      </c>
      <c r="M79" t="str">
        <f t="shared" si="4"/>
        <v>Regular Viewer</v>
      </c>
      <c r="N79" t="str">
        <f t="shared" si="5"/>
        <v>High</v>
      </c>
    </row>
    <row r="80" spans="1:14" ht="15.75" customHeight="1">
      <c r="A80" t="s">
        <v>141</v>
      </c>
      <c r="B80">
        <v>22</v>
      </c>
      <c r="C80" t="s">
        <v>24</v>
      </c>
      <c r="D80" t="s">
        <v>58</v>
      </c>
      <c r="E80" t="s">
        <v>65</v>
      </c>
      <c r="F80" t="s">
        <v>50</v>
      </c>
      <c r="G80">
        <v>1</v>
      </c>
      <c r="H80">
        <v>1</v>
      </c>
      <c r="I80" t="s">
        <v>22</v>
      </c>
      <c r="J80" t="s">
        <v>32</v>
      </c>
      <c r="K80">
        <v>10</v>
      </c>
      <c r="L80" t="str">
        <f t="shared" si="3"/>
        <v>18-25</v>
      </c>
      <c r="M80" t="str">
        <f t="shared" si="4"/>
        <v>Casual Viewer</v>
      </c>
      <c r="N80" t="str">
        <f t="shared" si="5"/>
        <v>Low</v>
      </c>
    </row>
    <row r="81" spans="1:14" ht="15.75" customHeight="1">
      <c r="A81" t="s">
        <v>142</v>
      </c>
      <c r="B81">
        <v>33</v>
      </c>
      <c r="C81" t="s">
        <v>12</v>
      </c>
      <c r="D81" t="s">
        <v>19</v>
      </c>
      <c r="E81" t="s">
        <v>35</v>
      </c>
      <c r="F81" t="s">
        <v>36</v>
      </c>
      <c r="G81">
        <v>1</v>
      </c>
      <c r="H81">
        <v>6</v>
      </c>
      <c r="I81" t="s">
        <v>31</v>
      </c>
      <c r="J81" t="s">
        <v>17</v>
      </c>
      <c r="K81">
        <v>4</v>
      </c>
      <c r="L81" t="str">
        <f t="shared" si="3"/>
        <v>26-35</v>
      </c>
      <c r="M81" t="str">
        <f t="shared" si="4"/>
        <v>Casual Viewer</v>
      </c>
      <c r="N81" t="str">
        <f t="shared" si="5"/>
        <v>Medium</v>
      </c>
    </row>
    <row r="82" spans="1:14" ht="15.75" customHeight="1">
      <c r="A82" t="s">
        <v>143</v>
      </c>
      <c r="B82">
        <v>34</v>
      </c>
      <c r="C82" t="s">
        <v>24</v>
      </c>
      <c r="D82" t="s">
        <v>34</v>
      </c>
      <c r="E82" t="s">
        <v>144</v>
      </c>
      <c r="F82" t="s">
        <v>145</v>
      </c>
      <c r="G82">
        <v>5</v>
      </c>
      <c r="H82">
        <v>14</v>
      </c>
      <c r="I82" t="s">
        <v>31</v>
      </c>
      <c r="J82" t="s">
        <v>32</v>
      </c>
      <c r="K82">
        <v>9</v>
      </c>
      <c r="L82" t="str">
        <f t="shared" si="3"/>
        <v>26-35</v>
      </c>
      <c r="M82" t="str">
        <f t="shared" si="4"/>
        <v>Binge Watcher</v>
      </c>
      <c r="N82" t="str">
        <f t="shared" si="5"/>
        <v>High</v>
      </c>
    </row>
    <row r="83" spans="1:14" ht="15.75" customHeight="1">
      <c r="A83" t="s">
        <v>146</v>
      </c>
      <c r="B83">
        <v>54</v>
      </c>
      <c r="C83" t="s">
        <v>12</v>
      </c>
      <c r="D83" t="s">
        <v>62</v>
      </c>
      <c r="E83" t="s">
        <v>29</v>
      </c>
      <c r="F83" t="s">
        <v>30</v>
      </c>
      <c r="G83">
        <v>3</v>
      </c>
      <c r="H83">
        <v>10</v>
      </c>
      <c r="I83" t="s">
        <v>22</v>
      </c>
      <c r="J83" t="s">
        <v>17</v>
      </c>
      <c r="K83">
        <v>5</v>
      </c>
      <c r="L83" t="str">
        <f t="shared" si="3"/>
        <v>46+</v>
      </c>
      <c r="M83" t="str">
        <f t="shared" si="4"/>
        <v>Regular Viewer</v>
      </c>
      <c r="N83" t="str">
        <f t="shared" si="5"/>
        <v>Medium</v>
      </c>
    </row>
    <row r="84" spans="1:14" ht="15.75" customHeight="1">
      <c r="A84" t="s">
        <v>147</v>
      </c>
      <c r="B84">
        <v>39</v>
      </c>
      <c r="C84" t="s">
        <v>24</v>
      </c>
      <c r="D84" t="s">
        <v>38</v>
      </c>
      <c r="E84" t="s">
        <v>98</v>
      </c>
      <c r="F84" t="s">
        <v>50</v>
      </c>
      <c r="G84">
        <v>3</v>
      </c>
      <c r="H84">
        <v>1</v>
      </c>
      <c r="I84" t="s">
        <v>31</v>
      </c>
      <c r="J84" t="s">
        <v>32</v>
      </c>
      <c r="K84">
        <v>10</v>
      </c>
      <c r="L84" t="str">
        <f t="shared" si="3"/>
        <v>36-45</v>
      </c>
      <c r="M84" t="str">
        <f t="shared" si="4"/>
        <v>Regular Viewer</v>
      </c>
      <c r="N84" t="str">
        <f t="shared" si="5"/>
        <v>Low</v>
      </c>
    </row>
    <row r="85" spans="1:14" ht="15.75" customHeight="1">
      <c r="A85" t="s">
        <v>148</v>
      </c>
      <c r="B85">
        <v>30</v>
      </c>
      <c r="C85" t="s">
        <v>24</v>
      </c>
      <c r="D85" t="s">
        <v>58</v>
      </c>
      <c r="E85" t="s">
        <v>49</v>
      </c>
      <c r="F85" t="s">
        <v>50</v>
      </c>
      <c r="G85">
        <v>1</v>
      </c>
      <c r="H85">
        <v>3</v>
      </c>
      <c r="I85" t="s">
        <v>31</v>
      </c>
      <c r="J85" t="s">
        <v>32</v>
      </c>
      <c r="K85">
        <v>10</v>
      </c>
      <c r="L85" t="str">
        <f t="shared" si="3"/>
        <v>26-35</v>
      </c>
      <c r="M85" t="str">
        <f t="shared" si="4"/>
        <v>Casual Viewer</v>
      </c>
      <c r="N85" t="str">
        <f t="shared" si="5"/>
        <v>Low</v>
      </c>
    </row>
    <row r="86" spans="1:14" ht="15.75" customHeight="1">
      <c r="A86" t="s">
        <v>149</v>
      </c>
      <c r="B86">
        <v>28</v>
      </c>
      <c r="C86" t="s">
        <v>12</v>
      </c>
      <c r="D86" t="s">
        <v>34</v>
      </c>
      <c r="E86" t="s">
        <v>45</v>
      </c>
      <c r="F86" t="s">
        <v>30</v>
      </c>
      <c r="G86">
        <v>2</v>
      </c>
      <c r="H86">
        <v>12</v>
      </c>
      <c r="I86" t="s">
        <v>22</v>
      </c>
      <c r="J86" t="s">
        <v>17</v>
      </c>
      <c r="K86">
        <v>6</v>
      </c>
      <c r="L86" t="str">
        <f t="shared" si="3"/>
        <v>26-35</v>
      </c>
      <c r="M86" t="str">
        <f t="shared" si="4"/>
        <v>Casual Viewer</v>
      </c>
      <c r="N86" t="str">
        <f t="shared" si="5"/>
        <v>High</v>
      </c>
    </row>
    <row r="87" spans="1:14" ht="15.75" customHeight="1">
      <c r="A87" t="s">
        <v>150</v>
      </c>
      <c r="B87">
        <v>23</v>
      </c>
      <c r="C87" t="s">
        <v>12</v>
      </c>
      <c r="D87" t="s">
        <v>34</v>
      </c>
      <c r="E87" t="s">
        <v>88</v>
      </c>
      <c r="F87" t="s">
        <v>15</v>
      </c>
      <c r="G87">
        <v>2</v>
      </c>
      <c r="H87">
        <v>8</v>
      </c>
      <c r="I87" t="s">
        <v>31</v>
      </c>
      <c r="J87" t="s">
        <v>17</v>
      </c>
      <c r="K87">
        <v>9</v>
      </c>
      <c r="L87" t="str">
        <f t="shared" si="3"/>
        <v>18-25</v>
      </c>
      <c r="M87" t="str">
        <f t="shared" si="4"/>
        <v>Casual Viewer</v>
      </c>
      <c r="N87" t="str">
        <f t="shared" si="5"/>
        <v>Medium</v>
      </c>
    </row>
    <row r="88" spans="1:14" ht="15.75" customHeight="1">
      <c r="A88" t="s">
        <v>151</v>
      </c>
      <c r="B88">
        <v>40</v>
      </c>
      <c r="C88" t="s">
        <v>24</v>
      </c>
      <c r="D88" t="s">
        <v>13</v>
      </c>
      <c r="E88" t="s">
        <v>95</v>
      </c>
      <c r="F88" t="s">
        <v>50</v>
      </c>
      <c r="G88">
        <v>3</v>
      </c>
      <c r="H88">
        <v>9</v>
      </c>
      <c r="I88" t="s">
        <v>22</v>
      </c>
      <c r="J88" t="s">
        <v>32</v>
      </c>
      <c r="K88">
        <v>10</v>
      </c>
      <c r="L88" t="str">
        <f t="shared" si="3"/>
        <v>36-45</v>
      </c>
      <c r="M88" t="str">
        <f t="shared" si="4"/>
        <v>Regular Viewer</v>
      </c>
      <c r="N88" t="str">
        <f t="shared" si="5"/>
        <v>Medium</v>
      </c>
    </row>
    <row r="89" spans="1:14" ht="15.75" customHeight="1">
      <c r="A89" t="s">
        <v>152</v>
      </c>
      <c r="B89">
        <v>22</v>
      </c>
      <c r="C89" t="s">
        <v>24</v>
      </c>
      <c r="D89" t="s">
        <v>34</v>
      </c>
      <c r="E89" t="s">
        <v>14</v>
      </c>
      <c r="F89" t="s">
        <v>15</v>
      </c>
      <c r="G89">
        <v>3</v>
      </c>
      <c r="H89">
        <v>15</v>
      </c>
      <c r="I89" t="s">
        <v>22</v>
      </c>
      <c r="J89" t="s">
        <v>17</v>
      </c>
      <c r="K89">
        <v>9</v>
      </c>
      <c r="L89" t="str">
        <f t="shared" si="3"/>
        <v>18-25</v>
      </c>
      <c r="M89" t="str">
        <f t="shared" si="4"/>
        <v>Regular Viewer</v>
      </c>
      <c r="N89" t="str">
        <f t="shared" si="5"/>
        <v>High</v>
      </c>
    </row>
    <row r="90" spans="1:14" ht="15.75" customHeight="1">
      <c r="A90" t="s">
        <v>153</v>
      </c>
      <c r="B90">
        <v>29</v>
      </c>
      <c r="C90" t="s">
        <v>24</v>
      </c>
      <c r="D90" t="s">
        <v>42</v>
      </c>
      <c r="E90" t="s">
        <v>144</v>
      </c>
      <c r="F90" t="s">
        <v>145</v>
      </c>
      <c r="G90">
        <v>3</v>
      </c>
      <c r="H90">
        <v>9</v>
      </c>
      <c r="I90" t="s">
        <v>22</v>
      </c>
      <c r="J90" t="s">
        <v>17</v>
      </c>
      <c r="K90">
        <v>6</v>
      </c>
      <c r="L90" t="str">
        <f t="shared" si="3"/>
        <v>26-35</v>
      </c>
      <c r="M90" t="str">
        <f t="shared" si="4"/>
        <v>Regular Viewer</v>
      </c>
      <c r="N90" t="str">
        <f t="shared" si="5"/>
        <v>Medium</v>
      </c>
    </row>
    <row r="91" spans="1:14" ht="15.75" customHeight="1">
      <c r="A91" t="s">
        <v>154</v>
      </c>
      <c r="B91">
        <v>35</v>
      </c>
      <c r="C91" t="s">
        <v>24</v>
      </c>
      <c r="D91" t="s">
        <v>34</v>
      </c>
      <c r="E91" t="s">
        <v>55</v>
      </c>
      <c r="F91" t="s">
        <v>56</v>
      </c>
      <c r="G91">
        <v>4</v>
      </c>
      <c r="H91">
        <v>5</v>
      </c>
      <c r="I91" t="s">
        <v>22</v>
      </c>
      <c r="J91" t="s">
        <v>32</v>
      </c>
      <c r="K91">
        <v>4</v>
      </c>
      <c r="L91" t="str">
        <f t="shared" si="3"/>
        <v>26-35</v>
      </c>
      <c r="M91" t="str">
        <f t="shared" si="4"/>
        <v>Regular Viewer</v>
      </c>
      <c r="N91" t="str">
        <f t="shared" si="5"/>
        <v>Low</v>
      </c>
    </row>
    <row r="92" spans="1:14" ht="15.75" customHeight="1">
      <c r="A92" t="s">
        <v>155</v>
      </c>
      <c r="B92">
        <v>21</v>
      </c>
      <c r="C92" t="s">
        <v>24</v>
      </c>
      <c r="D92" t="s">
        <v>13</v>
      </c>
      <c r="E92" t="s">
        <v>84</v>
      </c>
      <c r="F92" t="s">
        <v>30</v>
      </c>
      <c r="G92">
        <v>4</v>
      </c>
      <c r="H92">
        <v>4</v>
      </c>
      <c r="I92" t="s">
        <v>22</v>
      </c>
      <c r="J92" t="s">
        <v>17</v>
      </c>
      <c r="K92">
        <v>6</v>
      </c>
      <c r="L92" t="str">
        <f t="shared" si="3"/>
        <v>18-25</v>
      </c>
      <c r="M92" t="str">
        <f t="shared" si="4"/>
        <v>Regular Viewer</v>
      </c>
      <c r="N92" t="str">
        <f t="shared" si="5"/>
        <v>Low</v>
      </c>
    </row>
    <row r="93" spans="1:14" ht="15.75" customHeight="1">
      <c r="A93" t="s">
        <v>156</v>
      </c>
      <c r="B93">
        <v>23</v>
      </c>
      <c r="C93" t="s">
        <v>24</v>
      </c>
      <c r="D93" t="s">
        <v>47</v>
      </c>
      <c r="E93" t="s">
        <v>35</v>
      </c>
      <c r="F93" t="s">
        <v>36</v>
      </c>
      <c r="G93">
        <v>4</v>
      </c>
      <c r="H93">
        <v>7</v>
      </c>
      <c r="I93" t="s">
        <v>22</v>
      </c>
      <c r="J93" t="s">
        <v>17</v>
      </c>
      <c r="K93">
        <v>9</v>
      </c>
      <c r="L93" t="str">
        <f t="shared" si="3"/>
        <v>18-25</v>
      </c>
      <c r="M93" t="str">
        <f t="shared" si="4"/>
        <v>Regular Viewer</v>
      </c>
      <c r="N93" t="str">
        <f t="shared" si="5"/>
        <v>Medium</v>
      </c>
    </row>
    <row r="94" spans="1:14" ht="15.75" customHeight="1">
      <c r="A94" t="s">
        <v>157</v>
      </c>
      <c r="B94">
        <v>22</v>
      </c>
      <c r="C94" t="s">
        <v>24</v>
      </c>
      <c r="D94" t="s">
        <v>47</v>
      </c>
      <c r="E94" t="s">
        <v>55</v>
      </c>
      <c r="F94" t="s">
        <v>56</v>
      </c>
      <c r="G94">
        <v>2</v>
      </c>
      <c r="H94">
        <v>2</v>
      </c>
      <c r="I94" t="s">
        <v>22</v>
      </c>
      <c r="J94" t="s">
        <v>32</v>
      </c>
      <c r="K94">
        <v>9</v>
      </c>
      <c r="L94" t="str">
        <f t="shared" si="3"/>
        <v>18-25</v>
      </c>
      <c r="M94" t="str">
        <f t="shared" si="4"/>
        <v>Casual Viewer</v>
      </c>
      <c r="N94" t="str">
        <f t="shared" si="5"/>
        <v>Low</v>
      </c>
    </row>
    <row r="95" spans="1:14" ht="15.75" customHeight="1">
      <c r="A95" t="s">
        <v>158</v>
      </c>
      <c r="B95">
        <v>26</v>
      </c>
      <c r="C95" t="s">
        <v>24</v>
      </c>
      <c r="D95" t="s">
        <v>38</v>
      </c>
      <c r="E95" t="s">
        <v>144</v>
      </c>
      <c r="F95" t="s">
        <v>145</v>
      </c>
      <c r="G95">
        <v>3</v>
      </c>
      <c r="H95">
        <v>10</v>
      </c>
      <c r="I95" t="s">
        <v>31</v>
      </c>
      <c r="J95" t="s">
        <v>17</v>
      </c>
      <c r="K95">
        <v>1</v>
      </c>
      <c r="L95" t="str">
        <f t="shared" si="3"/>
        <v>26-35</v>
      </c>
      <c r="M95" t="str">
        <f t="shared" si="4"/>
        <v>Regular Viewer</v>
      </c>
      <c r="N95" t="str">
        <f t="shared" si="5"/>
        <v>Medium</v>
      </c>
    </row>
    <row r="96" spans="1:14" ht="15.75" customHeight="1">
      <c r="A96" t="s">
        <v>159</v>
      </c>
      <c r="B96">
        <v>20</v>
      </c>
      <c r="C96" t="s">
        <v>12</v>
      </c>
      <c r="D96" t="s">
        <v>13</v>
      </c>
      <c r="E96" t="s">
        <v>49</v>
      </c>
      <c r="F96" t="s">
        <v>50</v>
      </c>
      <c r="G96">
        <v>5</v>
      </c>
      <c r="H96">
        <v>12</v>
      </c>
      <c r="I96" t="s">
        <v>22</v>
      </c>
      <c r="J96" t="s">
        <v>32</v>
      </c>
      <c r="K96">
        <v>10</v>
      </c>
      <c r="L96" t="str">
        <f t="shared" si="3"/>
        <v>18-25</v>
      </c>
      <c r="M96" t="str">
        <f t="shared" si="4"/>
        <v>Binge Watcher</v>
      </c>
      <c r="N96" t="str">
        <f t="shared" si="5"/>
        <v>High</v>
      </c>
    </row>
    <row r="97" spans="1:14" ht="15.75" customHeight="1">
      <c r="A97" t="s">
        <v>160</v>
      </c>
      <c r="B97">
        <v>19</v>
      </c>
      <c r="C97" t="s">
        <v>12</v>
      </c>
      <c r="D97" t="s">
        <v>42</v>
      </c>
      <c r="E97" t="s">
        <v>60</v>
      </c>
      <c r="F97" t="s">
        <v>53</v>
      </c>
      <c r="G97">
        <v>2</v>
      </c>
      <c r="H97">
        <v>14</v>
      </c>
      <c r="I97" t="s">
        <v>31</v>
      </c>
      <c r="J97" t="s">
        <v>17</v>
      </c>
      <c r="K97">
        <v>9</v>
      </c>
      <c r="L97" t="str">
        <f t="shared" si="3"/>
        <v>18-25</v>
      </c>
      <c r="M97" t="str">
        <f t="shared" si="4"/>
        <v>Casual Viewer</v>
      </c>
      <c r="N97" t="str">
        <f t="shared" si="5"/>
        <v>High</v>
      </c>
    </row>
    <row r="98" spans="1:14" ht="15.75" customHeight="1">
      <c r="A98" t="s">
        <v>161</v>
      </c>
      <c r="B98">
        <v>26</v>
      </c>
      <c r="C98" t="s">
        <v>12</v>
      </c>
      <c r="D98" t="s">
        <v>19</v>
      </c>
      <c r="E98" t="s">
        <v>102</v>
      </c>
      <c r="F98" t="s">
        <v>103</v>
      </c>
      <c r="G98">
        <v>2</v>
      </c>
      <c r="H98">
        <v>5</v>
      </c>
      <c r="I98" t="s">
        <v>31</v>
      </c>
      <c r="J98" t="s">
        <v>17</v>
      </c>
      <c r="K98">
        <v>1</v>
      </c>
      <c r="L98" t="str">
        <f t="shared" si="3"/>
        <v>26-35</v>
      </c>
      <c r="M98" t="str">
        <f t="shared" si="4"/>
        <v>Casual Viewer</v>
      </c>
      <c r="N98" t="str">
        <f t="shared" si="5"/>
        <v>Low</v>
      </c>
    </row>
    <row r="99" spans="1:14" ht="15.75" customHeight="1">
      <c r="A99" t="s">
        <v>162</v>
      </c>
      <c r="B99">
        <v>18</v>
      </c>
      <c r="C99" t="s">
        <v>12</v>
      </c>
      <c r="D99" t="s">
        <v>38</v>
      </c>
      <c r="E99" t="s">
        <v>55</v>
      </c>
      <c r="F99" t="s">
        <v>56</v>
      </c>
      <c r="G99">
        <v>3</v>
      </c>
      <c r="H99">
        <v>5</v>
      </c>
      <c r="I99" t="s">
        <v>22</v>
      </c>
      <c r="J99" t="s">
        <v>17</v>
      </c>
      <c r="K99">
        <v>8</v>
      </c>
      <c r="L99" t="str">
        <f t="shared" si="3"/>
        <v>18-25</v>
      </c>
      <c r="M99" t="str">
        <f t="shared" si="4"/>
        <v>Regular Viewer</v>
      </c>
      <c r="N99" t="str">
        <f t="shared" si="5"/>
        <v>Low</v>
      </c>
    </row>
    <row r="100" spans="1:14" ht="15.75" customHeight="1">
      <c r="A100" t="s">
        <v>163</v>
      </c>
      <c r="B100">
        <v>18</v>
      </c>
      <c r="C100" t="s">
        <v>24</v>
      </c>
      <c r="D100" t="s">
        <v>40</v>
      </c>
      <c r="E100" t="s">
        <v>102</v>
      </c>
      <c r="F100" t="s">
        <v>103</v>
      </c>
      <c r="G100">
        <v>5</v>
      </c>
      <c r="H100">
        <v>1</v>
      </c>
      <c r="I100" t="s">
        <v>22</v>
      </c>
      <c r="J100" t="s">
        <v>17</v>
      </c>
      <c r="K100">
        <v>8</v>
      </c>
      <c r="L100" t="str">
        <f t="shared" si="3"/>
        <v>18-25</v>
      </c>
      <c r="M100" t="str">
        <f t="shared" si="4"/>
        <v>Binge Watcher</v>
      </c>
      <c r="N100" t="str">
        <f t="shared" si="5"/>
        <v>Low</v>
      </c>
    </row>
    <row r="101" spans="1:14" ht="15.75" customHeight="1">
      <c r="A101" t="s">
        <v>164</v>
      </c>
      <c r="B101">
        <v>52</v>
      </c>
      <c r="C101" t="s">
        <v>12</v>
      </c>
      <c r="D101" t="s">
        <v>47</v>
      </c>
      <c r="E101" t="s">
        <v>78</v>
      </c>
      <c r="F101" t="s">
        <v>15</v>
      </c>
      <c r="G101">
        <v>3</v>
      </c>
      <c r="H101">
        <v>3</v>
      </c>
      <c r="I101" t="s">
        <v>22</v>
      </c>
      <c r="J101" t="s">
        <v>17</v>
      </c>
      <c r="K101">
        <v>9</v>
      </c>
      <c r="L101" t="str">
        <f t="shared" si="3"/>
        <v>46+</v>
      </c>
      <c r="M101" t="str">
        <f t="shared" si="4"/>
        <v>Regular Viewer</v>
      </c>
      <c r="N101" t="str">
        <f t="shared" si="5"/>
        <v>Low</v>
      </c>
    </row>
    <row r="102" spans="1:14" ht="15.75" customHeight="1">
      <c r="A102" t="s">
        <v>165</v>
      </c>
      <c r="B102">
        <v>21</v>
      </c>
      <c r="C102" t="s">
        <v>12</v>
      </c>
      <c r="D102" t="s">
        <v>62</v>
      </c>
      <c r="E102" t="s">
        <v>144</v>
      </c>
      <c r="F102" t="s">
        <v>145</v>
      </c>
      <c r="G102">
        <v>1</v>
      </c>
      <c r="H102">
        <v>4</v>
      </c>
      <c r="I102" t="s">
        <v>22</v>
      </c>
      <c r="J102" t="s">
        <v>32</v>
      </c>
      <c r="K102">
        <v>4</v>
      </c>
      <c r="L102" t="str">
        <f t="shared" si="3"/>
        <v>18-25</v>
      </c>
      <c r="M102" t="str">
        <f t="shared" si="4"/>
        <v>Casual Viewer</v>
      </c>
      <c r="N102" t="str">
        <f t="shared" si="5"/>
        <v>Low</v>
      </c>
    </row>
    <row r="103" spans="1:14" ht="15.75" customHeight="1">
      <c r="A103" t="s">
        <v>166</v>
      </c>
      <c r="B103">
        <v>23</v>
      </c>
      <c r="C103" t="s">
        <v>24</v>
      </c>
      <c r="D103" t="s">
        <v>19</v>
      </c>
      <c r="E103" t="s">
        <v>20</v>
      </c>
      <c r="F103" t="s">
        <v>21</v>
      </c>
      <c r="G103">
        <v>3</v>
      </c>
      <c r="H103">
        <v>4</v>
      </c>
      <c r="I103" t="s">
        <v>22</v>
      </c>
      <c r="J103" t="s">
        <v>17</v>
      </c>
      <c r="K103">
        <v>2</v>
      </c>
      <c r="L103" t="str">
        <f t="shared" si="3"/>
        <v>18-25</v>
      </c>
      <c r="M103" t="str">
        <f t="shared" si="4"/>
        <v>Regular Viewer</v>
      </c>
      <c r="N103" t="str">
        <f t="shared" si="5"/>
        <v>Low</v>
      </c>
    </row>
    <row r="104" spans="1:14" ht="15.75" customHeight="1">
      <c r="A104" t="s">
        <v>167</v>
      </c>
      <c r="B104">
        <v>36</v>
      </c>
      <c r="C104" t="s">
        <v>24</v>
      </c>
      <c r="D104" t="s">
        <v>47</v>
      </c>
      <c r="E104" t="s">
        <v>63</v>
      </c>
      <c r="F104" t="s">
        <v>50</v>
      </c>
      <c r="G104">
        <v>3</v>
      </c>
      <c r="H104">
        <v>8</v>
      </c>
      <c r="I104" t="s">
        <v>22</v>
      </c>
      <c r="J104" t="s">
        <v>17</v>
      </c>
      <c r="K104">
        <v>10</v>
      </c>
      <c r="L104" t="str">
        <f t="shared" si="3"/>
        <v>36-45</v>
      </c>
      <c r="M104" t="str">
        <f t="shared" si="4"/>
        <v>Regular Viewer</v>
      </c>
      <c r="N104" t="str">
        <f t="shared" si="5"/>
        <v>Medium</v>
      </c>
    </row>
    <row r="105" spans="1:14" ht="15.75" customHeight="1">
      <c r="A105" t="s">
        <v>168</v>
      </c>
      <c r="B105">
        <v>55</v>
      </c>
      <c r="C105" t="s">
        <v>12</v>
      </c>
      <c r="D105" t="s">
        <v>34</v>
      </c>
      <c r="E105" t="s">
        <v>78</v>
      </c>
      <c r="F105" t="s">
        <v>15</v>
      </c>
      <c r="G105">
        <v>2</v>
      </c>
      <c r="H105">
        <v>11</v>
      </c>
      <c r="I105" t="s">
        <v>16</v>
      </c>
      <c r="J105" t="s">
        <v>32</v>
      </c>
      <c r="K105">
        <v>9</v>
      </c>
      <c r="L105" t="str">
        <f t="shared" si="3"/>
        <v>46+</v>
      </c>
      <c r="M105" t="str">
        <f t="shared" si="4"/>
        <v>Casual Viewer</v>
      </c>
      <c r="N105" t="str">
        <f t="shared" si="5"/>
        <v>High</v>
      </c>
    </row>
    <row r="106" spans="1:14" ht="15.75" customHeight="1">
      <c r="A106" t="s">
        <v>169</v>
      </c>
      <c r="B106">
        <v>38</v>
      </c>
      <c r="C106" t="s">
        <v>12</v>
      </c>
      <c r="D106" t="s">
        <v>47</v>
      </c>
      <c r="E106" t="s">
        <v>144</v>
      </c>
      <c r="F106" t="s">
        <v>145</v>
      </c>
      <c r="G106">
        <v>3</v>
      </c>
      <c r="H106">
        <v>6</v>
      </c>
      <c r="I106" t="s">
        <v>22</v>
      </c>
      <c r="J106" t="s">
        <v>17</v>
      </c>
      <c r="K106">
        <v>6</v>
      </c>
      <c r="L106" t="str">
        <f t="shared" si="3"/>
        <v>36-45</v>
      </c>
      <c r="M106" t="str">
        <f t="shared" si="4"/>
        <v>Regular Viewer</v>
      </c>
      <c r="N106" t="str">
        <f t="shared" si="5"/>
        <v>Medium</v>
      </c>
    </row>
    <row r="107" spans="1:14" ht="15.75" customHeight="1">
      <c r="A107" t="s">
        <v>170</v>
      </c>
      <c r="B107">
        <v>20</v>
      </c>
      <c r="C107" t="s">
        <v>24</v>
      </c>
      <c r="D107" t="s">
        <v>19</v>
      </c>
      <c r="E107" t="s">
        <v>45</v>
      </c>
      <c r="F107" t="s">
        <v>30</v>
      </c>
      <c r="G107">
        <v>1</v>
      </c>
      <c r="H107">
        <v>3</v>
      </c>
      <c r="I107" t="s">
        <v>31</v>
      </c>
      <c r="J107" t="s">
        <v>17</v>
      </c>
      <c r="K107">
        <v>5</v>
      </c>
      <c r="L107" t="str">
        <f t="shared" si="3"/>
        <v>18-25</v>
      </c>
      <c r="M107" t="str">
        <f t="shared" si="4"/>
        <v>Casual Viewer</v>
      </c>
      <c r="N107" t="str">
        <f t="shared" si="5"/>
        <v>Low</v>
      </c>
    </row>
    <row r="108" spans="1:14" ht="15.75" customHeight="1">
      <c r="A108" t="s">
        <v>171</v>
      </c>
      <c r="B108">
        <v>27</v>
      </c>
      <c r="C108" t="s">
        <v>12</v>
      </c>
      <c r="D108" t="s">
        <v>40</v>
      </c>
      <c r="E108" t="s">
        <v>88</v>
      </c>
      <c r="F108" t="s">
        <v>15</v>
      </c>
      <c r="G108">
        <v>1</v>
      </c>
      <c r="H108">
        <v>2</v>
      </c>
      <c r="I108" t="s">
        <v>31</v>
      </c>
      <c r="J108" t="s">
        <v>32</v>
      </c>
      <c r="K108">
        <v>4</v>
      </c>
      <c r="L108" t="str">
        <f t="shared" si="3"/>
        <v>26-35</v>
      </c>
      <c r="M108" t="str">
        <f t="shared" si="4"/>
        <v>Casual Viewer</v>
      </c>
      <c r="N108" t="str">
        <f t="shared" si="5"/>
        <v>Low</v>
      </c>
    </row>
    <row r="109" spans="1:14" ht="15.75" customHeight="1">
      <c r="A109" t="s">
        <v>172</v>
      </c>
      <c r="B109">
        <v>28</v>
      </c>
      <c r="C109" t="s">
        <v>24</v>
      </c>
      <c r="D109" t="s">
        <v>28</v>
      </c>
      <c r="E109" t="s">
        <v>29</v>
      </c>
      <c r="F109" t="s">
        <v>30</v>
      </c>
      <c r="G109">
        <v>5</v>
      </c>
      <c r="H109">
        <v>1</v>
      </c>
      <c r="I109" t="s">
        <v>31</v>
      </c>
      <c r="J109" t="s">
        <v>32</v>
      </c>
      <c r="K109">
        <v>9</v>
      </c>
      <c r="L109" t="str">
        <f t="shared" si="3"/>
        <v>26-35</v>
      </c>
      <c r="M109" t="str">
        <f t="shared" si="4"/>
        <v>Binge Watcher</v>
      </c>
      <c r="N109" t="str">
        <f t="shared" si="5"/>
        <v>Low</v>
      </c>
    </row>
    <row r="110" spans="1:14" ht="15.75" customHeight="1">
      <c r="A110" t="s">
        <v>173</v>
      </c>
      <c r="B110">
        <v>28</v>
      </c>
      <c r="C110" t="s">
        <v>12</v>
      </c>
      <c r="D110" t="s">
        <v>13</v>
      </c>
      <c r="E110" t="s">
        <v>98</v>
      </c>
      <c r="F110" t="s">
        <v>50</v>
      </c>
      <c r="G110">
        <v>1</v>
      </c>
      <c r="H110">
        <v>13</v>
      </c>
      <c r="I110" t="s">
        <v>16</v>
      </c>
      <c r="J110" t="s">
        <v>17</v>
      </c>
      <c r="K110">
        <v>10</v>
      </c>
      <c r="L110" t="str">
        <f t="shared" si="3"/>
        <v>26-35</v>
      </c>
      <c r="M110" t="str">
        <f t="shared" si="4"/>
        <v>Casual Viewer</v>
      </c>
      <c r="N110" t="str">
        <f t="shared" si="5"/>
        <v>High</v>
      </c>
    </row>
    <row r="111" spans="1:14" ht="15.75" customHeight="1">
      <c r="A111" t="s">
        <v>174</v>
      </c>
      <c r="B111">
        <v>37</v>
      </c>
      <c r="C111" t="s">
        <v>12</v>
      </c>
      <c r="D111" t="s">
        <v>40</v>
      </c>
      <c r="E111" t="s">
        <v>35</v>
      </c>
      <c r="F111" t="s">
        <v>36</v>
      </c>
      <c r="G111">
        <v>2</v>
      </c>
      <c r="H111">
        <v>14</v>
      </c>
      <c r="I111" t="s">
        <v>31</v>
      </c>
      <c r="J111" t="s">
        <v>17</v>
      </c>
      <c r="K111">
        <v>9</v>
      </c>
      <c r="L111" t="str">
        <f t="shared" si="3"/>
        <v>36-45</v>
      </c>
      <c r="M111" t="str">
        <f t="shared" si="4"/>
        <v>Casual Viewer</v>
      </c>
      <c r="N111" t="str">
        <f t="shared" si="5"/>
        <v>High</v>
      </c>
    </row>
    <row r="112" spans="1:14" ht="15.75" customHeight="1">
      <c r="A112" t="s">
        <v>175</v>
      </c>
      <c r="B112">
        <v>20</v>
      </c>
      <c r="C112" t="s">
        <v>24</v>
      </c>
      <c r="D112" t="s">
        <v>62</v>
      </c>
      <c r="E112" t="s">
        <v>55</v>
      </c>
      <c r="F112" t="s">
        <v>56</v>
      </c>
      <c r="G112">
        <v>2</v>
      </c>
      <c r="H112">
        <v>14</v>
      </c>
      <c r="I112" t="s">
        <v>22</v>
      </c>
      <c r="J112" t="s">
        <v>32</v>
      </c>
      <c r="K112">
        <v>2</v>
      </c>
      <c r="L112" t="str">
        <f t="shared" si="3"/>
        <v>18-25</v>
      </c>
      <c r="M112" t="str">
        <f t="shared" si="4"/>
        <v>Casual Viewer</v>
      </c>
      <c r="N112" t="str">
        <f t="shared" si="5"/>
        <v>High</v>
      </c>
    </row>
    <row r="113" spans="1:14" ht="15.75" customHeight="1">
      <c r="A113" t="s">
        <v>176</v>
      </c>
      <c r="B113">
        <v>25</v>
      </c>
      <c r="C113" t="s">
        <v>12</v>
      </c>
      <c r="D113" t="s">
        <v>47</v>
      </c>
      <c r="E113" t="s">
        <v>63</v>
      </c>
      <c r="F113" t="s">
        <v>50</v>
      </c>
      <c r="G113">
        <v>5</v>
      </c>
      <c r="H113">
        <v>1</v>
      </c>
      <c r="I113" t="s">
        <v>22</v>
      </c>
      <c r="J113" t="s">
        <v>17</v>
      </c>
      <c r="K113">
        <v>10</v>
      </c>
      <c r="L113" t="str">
        <f t="shared" si="3"/>
        <v>18-25</v>
      </c>
      <c r="M113" t="str">
        <f t="shared" si="4"/>
        <v>Binge Watcher</v>
      </c>
      <c r="N113" t="str">
        <f t="shared" si="5"/>
        <v>Low</v>
      </c>
    </row>
    <row r="114" spans="1:14" ht="15.75" customHeight="1">
      <c r="A114" t="s">
        <v>177</v>
      </c>
      <c r="B114">
        <v>26</v>
      </c>
      <c r="C114" t="s">
        <v>24</v>
      </c>
      <c r="D114" t="s">
        <v>47</v>
      </c>
      <c r="E114" t="s">
        <v>35</v>
      </c>
      <c r="F114" t="s">
        <v>36</v>
      </c>
      <c r="G114">
        <v>3</v>
      </c>
      <c r="H114">
        <v>9</v>
      </c>
      <c r="I114" t="s">
        <v>31</v>
      </c>
      <c r="J114" t="s">
        <v>32</v>
      </c>
      <c r="K114">
        <v>7</v>
      </c>
      <c r="L114" t="str">
        <f t="shared" si="3"/>
        <v>26-35</v>
      </c>
      <c r="M114" t="str">
        <f t="shared" si="4"/>
        <v>Regular Viewer</v>
      </c>
      <c r="N114" t="str">
        <f t="shared" si="5"/>
        <v>Medium</v>
      </c>
    </row>
    <row r="115" spans="1:14" ht="15.75" customHeight="1">
      <c r="A115" t="s">
        <v>178</v>
      </c>
      <c r="B115">
        <v>30</v>
      </c>
      <c r="C115" t="s">
        <v>12</v>
      </c>
      <c r="D115" t="s">
        <v>58</v>
      </c>
      <c r="E115" t="s">
        <v>63</v>
      </c>
      <c r="F115" t="s">
        <v>50</v>
      </c>
      <c r="G115">
        <v>1</v>
      </c>
      <c r="H115">
        <v>14</v>
      </c>
      <c r="I115" t="s">
        <v>31</v>
      </c>
      <c r="J115" t="s">
        <v>17</v>
      </c>
      <c r="K115">
        <v>10</v>
      </c>
      <c r="L115" t="str">
        <f t="shared" si="3"/>
        <v>26-35</v>
      </c>
      <c r="M115" t="str">
        <f t="shared" si="4"/>
        <v>Casual Viewer</v>
      </c>
      <c r="N115" t="str">
        <f t="shared" si="5"/>
        <v>High</v>
      </c>
    </row>
    <row r="116" spans="1:14" ht="15.75" customHeight="1">
      <c r="A116" t="s">
        <v>179</v>
      </c>
      <c r="B116">
        <v>23</v>
      </c>
      <c r="C116" t="s">
        <v>12</v>
      </c>
      <c r="D116" t="s">
        <v>38</v>
      </c>
      <c r="E116" t="s">
        <v>49</v>
      </c>
      <c r="F116" t="s">
        <v>50</v>
      </c>
      <c r="G116">
        <v>1</v>
      </c>
      <c r="H116">
        <v>12</v>
      </c>
      <c r="I116" t="s">
        <v>16</v>
      </c>
      <c r="J116" t="s">
        <v>32</v>
      </c>
      <c r="K116">
        <v>10</v>
      </c>
      <c r="L116" t="str">
        <f t="shared" si="3"/>
        <v>18-25</v>
      </c>
      <c r="M116" t="str">
        <f t="shared" si="4"/>
        <v>Casual Viewer</v>
      </c>
      <c r="N116" t="str">
        <f t="shared" si="5"/>
        <v>High</v>
      </c>
    </row>
    <row r="117" spans="1:14" ht="15.75" customHeight="1">
      <c r="A117" t="s">
        <v>180</v>
      </c>
      <c r="B117">
        <v>32</v>
      </c>
      <c r="C117" t="s">
        <v>12</v>
      </c>
      <c r="D117" t="s">
        <v>62</v>
      </c>
      <c r="E117" t="s">
        <v>25</v>
      </c>
      <c r="F117" t="s">
        <v>26</v>
      </c>
      <c r="G117">
        <v>4</v>
      </c>
      <c r="H117">
        <v>12</v>
      </c>
      <c r="I117" t="s">
        <v>22</v>
      </c>
      <c r="J117" t="s">
        <v>17</v>
      </c>
      <c r="K117">
        <v>1</v>
      </c>
      <c r="L117" t="str">
        <f t="shared" si="3"/>
        <v>26-35</v>
      </c>
      <c r="M117" t="str">
        <f t="shared" si="4"/>
        <v>Regular Viewer</v>
      </c>
      <c r="N117" t="str">
        <f t="shared" si="5"/>
        <v>High</v>
      </c>
    </row>
    <row r="118" spans="1:14" ht="15.75" customHeight="1">
      <c r="A118" t="s">
        <v>181</v>
      </c>
      <c r="B118">
        <v>19</v>
      </c>
      <c r="C118" t="s">
        <v>24</v>
      </c>
      <c r="D118" t="s">
        <v>62</v>
      </c>
      <c r="E118" t="s">
        <v>20</v>
      </c>
      <c r="F118" t="s">
        <v>21</v>
      </c>
      <c r="G118">
        <v>3</v>
      </c>
      <c r="H118">
        <v>8</v>
      </c>
      <c r="I118" t="s">
        <v>31</v>
      </c>
      <c r="J118" t="s">
        <v>32</v>
      </c>
      <c r="K118">
        <v>5</v>
      </c>
      <c r="L118" t="str">
        <f t="shared" si="3"/>
        <v>18-25</v>
      </c>
      <c r="M118" t="str">
        <f t="shared" si="4"/>
        <v>Regular Viewer</v>
      </c>
      <c r="N118" t="str">
        <f t="shared" si="5"/>
        <v>Medium</v>
      </c>
    </row>
    <row r="119" spans="1:14" ht="15.75" customHeight="1">
      <c r="A119" t="s">
        <v>182</v>
      </c>
      <c r="B119">
        <v>20</v>
      </c>
      <c r="C119" t="s">
        <v>24</v>
      </c>
      <c r="D119" t="s">
        <v>47</v>
      </c>
      <c r="E119" t="s">
        <v>65</v>
      </c>
      <c r="F119" t="s">
        <v>50</v>
      </c>
      <c r="G119">
        <v>2</v>
      </c>
      <c r="H119">
        <v>13</v>
      </c>
      <c r="I119" t="s">
        <v>16</v>
      </c>
      <c r="J119" t="s">
        <v>17</v>
      </c>
      <c r="K119">
        <v>10</v>
      </c>
      <c r="L119" t="str">
        <f t="shared" si="3"/>
        <v>18-25</v>
      </c>
      <c r="M119" t="str">
        <f t="shared" si="4"/>
        <v>Casual Viewer</v>
      </c>
      <c r="N119" t="str">
        <f t="shared" si="5"/>
        <v>High</v>
      </c>
    </row>
    <row r="120" spans="1:14" ht="15.75" customHeight="1">
      <c r="A120" t="s">
        <v>183</v>
      </c>
      <c r="B120">
        <v>34</v>
      </c>
      <c r="C120" t="s">
        <v>12</v>
      </c>
      <c r="D120" t="s">
        <v>62</v>
      </c>
      <c r="E120" t="s">
        <v>45</v>
      </c>
      <c r="F120" t="s">
        <v>30</v>
      </c>
      <c r="G120">
        <v>5</v>
      </c>
      <c r="H120">
        <v>5</v>
      </c>
      <c r="I120" t="s">
        <v>22</v>
      </c>
      <c r="J120" t="s">
        <v>17</v>
      </c>
      <c r="K120">
        <v>4</v>
      </c>
      <c r="L120" t="str">
        <f t="shared" si="3"/>
        <v>26-35</v>
      </c>
      <c r="M120" t="str">
        <f t="shared" si="4"/>
        <v>Binge Watcher</v>
      </c>
      <c r="N120" t="str">
        <f t="shared" si="5"/>
        <v>Low</v>
      </c>
    </row>
    <row r="121" spans="1:14" ht="15.75" customHeight="1">
      <c r="A121" t="s">
        <v>184</v>
      </c>
      <c r="B121">
        <v>24</v>
      </c>
      <c r="C121" t="s">
        <v>24</v>
      </c>
      <c r="D121" t="s">
        <v>19</v>
      </c>
      <c r="E121" t="s">
        <v>14</v>
      </c>
      <c r="F121" t="s">
        <v>15</v>
      </c>
      <c r="G121">
        <v>2</v>
      </c>
      <c r="H121">
        <v>6</v>
      </c>
      <c r="I121" t="s">
        <v>22</v>
      </c>
      <c r="J121" t="s">
        <v>32</v>
      </c>
      <c r="K121">
        <v>9</v>
      </c>
      <c r="L121" t="str">
        <f t="shared" si="3"/>
        <v>18-25</v>
      </c>
      <c r="M121" t="str">
        <f t="shared" si="4"/>
        <v>Casual Viewer</v>
      </c>
      <c r="N121" t="str">
        <f t="shared" si="5"/>
        <v>Medium</v>
      </c>
    </row>
    <row r="122" spans="1:14" ht="15.75" customHeight="1">
      <c r="A122" t="s">
        <v>185</v>
      </c>
      <c r="B122">
        <v>20</v>
      </c>
      <c r="C122" t="s">
        <v>12</v>
      </c>
      <c r="D122" t="s">
        <v>38</v>
      </c>
      <c r="E122" t="s">
        <v>49</v>
      </c>
      <c r="F122" t="s">
        <v>50</v>
      </c>
      <c r="G122">
        <v>3</v>
      </c>
      <c r="H122">
        <v>5</v>
      </c>
      <c r="I122" t="s">
        <v>16</v>
      </c>
      <c r="J122" t="s">
        <v>32</v>
      </c>
      <c r="K122">
        <v>10</v>
      </c>
      <c r="L122" t="str">
        <f t="shared" si="3"/>
        <v>18-25</v>
      </c>
      <c r="M122" t="str">
        <f t="shared" si="4"/>
        <v>Regular Viewer</v>
      </c>
      <c r="N122" t="str">
        <f t="shared" si="5"/>
        <v>Low</v>
      </c>
    </row>
    <row r="123" spans="1:14" ht="15.75" customHeight="1">
      <c r="A123" t="s">
        <v>186</v>
      </c>
      <c r="B123">
        <v>30</v>
      </c>
      <c r="C123" t="s">
        <v>24</v>
      </c>
      <c r="D123" t="s">
        <v>38</v>
      </c>
      <c r="E123" t="s">
        <v>70</v>
      </c>
      <c r="F123" t="s">
        <v>15</v>
      </c>
      <c r="G123">
        <v>1</v>
      </c>
      <c r="H123">
        <v>10</v>
      </c>
      <c r="I123" t="s">
        <v>31</v>
      </c>
      <c r="J123" t="s">
        <v>17</v>
      </c>
      <c r="K123">
        <v>9</v>
      </c>
      <c r="L123" t="str">
        <f t="shared" si="3"/>
        <v>26-35</v>
      </c>
      <c r="M123" t="str">
        <f t="shared" si="4"/>
        <v>Casual Viewer</v>
      </c>
      <c r="N123" t="str">
        <f t="shared" si="5"/>
        <v>Medium</v>
      </c>
    </row>
    <row r="124" spans="1:14" ht="15.75" customHeight="1">
      <c r="A124" t="s">
        <v>187</v>
      </c>
      <c r="B124">
        <v>21</v>
      </c>
      <c r="C124" t="s">
        <v>12</v>
      </c>
      <c r="D124" t="s">
        <v>34</v>
      </c>
      <c r="E124" t="s">
        <v>65</v>
      </c>
      <c r="F124" t="s">
        <v>50</v>
      </c>
      <c r="G124">
        <v>2</v>
      </c>
      <c r="H124">
        <v>14</v>
      </c>
      <c r="I124" t="s">
        <v>16</v>
      </c>
      <c r="J124" t="s">
        <v>32</v>
      </c>
      <c r="K124">
        <v>1</v>
      </c>
      <c r="L124" t="str">
        <f t="shared" si="3"/>
        <v>18-25</v>
      </c>
      <c r="M124" t="str">
        <f t="shared" si="4"/>
        <v>Casual Viewer</v>
      </c>
      <c r="N124" t="str">
        <f t="shared" si="5"/>
        <v>High</v>
      </c>
    </row>
    <row r="125" spans="1:14" ht="15.75" customHeight="1">
      <c r="A125" t="s">
        <v>188</v>
      </c>
      <c r="B125">
        <v>32</v>
      </c>
      <c r="C125" t="s">
        <v>24</v>
      </c>
      <c r="D125" t="s">
        <v>47</v>
      </c>
      <c r="E125" t="s">
        <v>70</v>
      </c>
      <c r="F125" t="s">
        <v>15</v>
      </c>
      <c r="G125">
        <v>2</v>
      </c>
      <c r="H125">
        <v>8</v>
      </c>
      <c r="I125" t="s">
        <v>22</v>
      </c>
      <c r="J125" t="s">
        <v>32</v>
      </c>
      <c r="K125">
        <v>9</v>
      </c>
      <c r="L125" t="str">
        <f t="shared" si="3"/>
        <v>26-35</v>
      </c>
      <c r="M125" t="str">
        <f t="shared" si="4"/>
        <v>Casual Viewer</v>
      </c>
      <c r="N125" t="str">
        <f t="shared" si="5"/>
        <v>Medium</v>
      </c>
    </row>
    <row r="126" spans="1:14" ht="15.75" customHeight="1">
      <c r="A126" t="s">
        <v>189</v>
      </c>
      <c r="B126">
        <v>22</v>
      </c>
      <c r="C126" t="s">
        <v>12</v>
      </c>
      <c r="D126" t="s">
        <v>34</v>
      </c>
      <c r="E126" t="s">
        <v>25</v>
      </c>
      <c r="F126" t="s">
        <v>26</v>
      </c>
      <c r="G126">
        <v>2</v>
      </c>
      <c r="H126">
        <v>6</v>
      </c>
      <c r="I126" t="s">
        <v>16</v>
      </c>
      <c r="J126" t="s">
        <v>32</v>
      </c>
      <c r="K126">
        <v>9</v>
      </c>
      <c r="L126" t="str">
        <f t="shared" si="3"/>
        <v>18-25</v>
      </c>
      <c r="M126" t="str">
        <f t="shared" si="4"/>
        <v>Casual Viewer</v>
      </c>
      <c r="N126" t="str">
        <f t="shared" si="5"/>
        <v>Medium</v>
      </c>
    </row>
    <row r="127" spans="1:14" ht="15.75" customHeight="1">
      <c r="A127" t="s">
        <v>190</v>
      </c>
      <c r="B127">
        <v>35</v>
      </c>
      <c r="C127" t="s">
        <v>12</v>
      </c>
      <c r="D127" t="s">
        <v>62</v>
      </c>
      <c r="E127" t="s">
        <v>49</v>
      </c>
      <c r="F127" t="s">
        <v>50</v>
      </c>
      <c r="G127">
        <v>3</v>
      </c>
      <c r="H127">
        <v>3</v>
      </c>
      <c r="I127" t="s">
        <v>16</v>
      </c>
      <c r="J127" t="s">
        <v>17</v>
      </c>
      <c r="K127">
        <v>9</v>
      </c>
      <c r="L127" t="str">
        <f t="shared" si="3"/>
        <v>26-35</v>
      </c>
      <c r="M127" t="str">
        <f t="shared" si="4"/>
        <v>Regular Viewer</v>
      </c>
      <c r="N127" t="str">
        <f t="shared" si="5"/>
        <v>Low</v>
      </c>
    </row>
    <row r="128" spans="1:14" ht="15.75" customHeight="1">
      <c r="A128" t="s">
        <v>191</v>
      </c>
      <c r="B128">
        <v>25</v>
      </c>
      <c r="C128" t="s">
        <v>24</v>
      </c>
      <c r="D128" t="s">
        <v>13</v>
      </c>
      <c r="E128" t="s">
        <v>49</v>
      </c>
      <c r="F128" t="s">
        <v>50</v>
      </c>
      <c r="G128">
        <v>1</v>
      </c>
      <c r="H128">
        <v>9</v>
      </c>
      <c r="I128" t="s">
        <v>22</v>
      </c>
      <c r="J128" t="s">
        <v>32</v>
      </c>
      <c r="K128">
        <v>10</v>
      </c>
      <c r="L128" t="str">
        <f t="shared" si="3"/>
        <v>18-25</v>
      </c>
      <c r="M128" t="str">
        <f t="shared" si="4"/>
        <v>Casual Viewer</v>
      </c>
      <c r="N128" t="str">
        <f t="shared" si="5"/>
        <v>Medium</v>
      </c>
    </row>
    <row r="129" spans="1:14" ht="15.75" customHeight="1">
      <c r="A129" t="s">
        <v>192</v>
      </c>
      <c r="B129">
        <v>25</v>
      </c>
      <c r="C129" t="s">
        <v>12</v>
      </c>
      <c r="D129" t="s">
        <v>19</v>
      </c>
      <c r="E129" t="s">
        <v>95</v>
      </c>
      <c r="F129" t="s">
        <v>50</v>
      </c>
      <c r="G129">
        <v>3</v>
      </c>
      <c r="H129">
        <v>6</v>
      </c>
      <c r="I129" t="s">
        <v>31</v>
      </c>
      <c r="J129" t="s">
        <v>32</v>
      </c>
      <c r="K129">
        <v>5</v>
      </c>
      <c r="L129" t="str">
        <f t="shared" si="3"/>
        <v>18-25</v>
      </c>
      <c r="M129" t="str">
        <f t="shared" si="4"/>
        <v>Regular Viewer</v>
      </c>
      <c r="N129" t="str">
        <f t="shared" si="5"/>
        <v>Medium</v>
      </c>
    </row>
    <row r="130" spans="1:14" ht="15.75" customHeight="1">
      <c r="A130" t="s">
        <v>193</v>
      </c>
      <c r="B130">
        <v>22</v>
      </c>
      <c r="C130" t="s">
        <v>24</v>
      </c>
      <c r="D130" t="s">
        <v>58</v>
      </c>
      <c r="E130" t="s">
        <v>98</v>
      </c>
      <c r="F130" t="s">
        <v>50</v>
      </c>
      <c r="G130">
        <v>4</v>
      </c>
      <c r="H130">
        <v>3</v>
      </c>
      <c r="I130" t="s">
        <v>16</v>
      </c>
      <c r="J130" t="s">
        <v>32</v>
      </c>
      <c r="K130">
        <v>9</v>
      </c>
      <c r="L130" t="str">
        <f t="shared" si="3"/>
        <v>18-25</v>
      </c>
      <c r="M130" t="str">
        <f t="shared" si="4"/>
        <v>Regular Viewer</v>
      </c>
      <c r="N130" t="str">
        <f t="shared" si="5"/>
        <v>Low</v>
      </c>
    </row>
    <row r="131" spans="1:14" ht="15.75" customHeight="1">
      <c r="A131" t="s">
        <v>194</v>
      </c>
      <c r="B131">
        <v>23</v>
      </c>
      <c r="C131" t="s">
        <v>24</v>
      </c>
      <c r="D131" t="s">
        <v>40</v>
      </c>
      <c r="E131" t="s">
        <v>139</v>
      </c>
      <c r="F131" t="s">
        <v>140</v>
      </c>
      <c r="G131">
        <v>4</v>
      </c>
      <c r="H131">
        <v>5</v>
      </c>
      <c r="I131" t="s">
        <v>16</v>
      </c>
      <c r="J131" t="s">
        <v>17</v>
      </c>
      <c r="K131">
        <v>3</v>
      </c>
      <c r="L131" t="str">
        <f t="shared" ref="L131:L194" si="6">IF(B131&lt;=25,"18-25",IF(B131&lt;=35,"26-35",IF(B131&lt;=45,"36-45","46+")))</f>
        <v>18-25</v>
      </c>
      <c r="M131" t="str">
        <f t="shared" ref="M131:M194" si="7">IF(G131&lt;=2,"Casual Viewer",IF(G131&lt;=4,"Regular Viewer","Binge Watcher"))</f>
        <v>Regular Viewer</v>
      </c>
      <c r="N131" t="str">
        <f t="shared" ref="N131:N194" si="8">IF(H131&lt;=5,"Low",IF(H131&lt;=10,"Medium","High"))</f>
        <v>Low</v>
      </c>
    </row>
    <row r="132" spans="1:14" ht="15.75" customHeight="1">
      <c r="A132" t="s">
        <v>195</v>
      </c>
      <c r="B132">
        <v>29</v>
      </c>
      <c r="C132" t="s">
        <v>24</v>
      </c>
      <c r="D132" t="s">
        <v>47</v>
      </c>
      <c r="E132" t="s">
        <v>65</v>
      </c>
      <c r="F132" t="s">
        <v>50</v>
      </c>
      <c r="G132">
        <v>1</v>
      </c>
      <c r="H132">
        <v>2</v>
      </c>
      <c r="I132" t="s">
        <v>22</v>
      </c>
      <c r="J132" t="s">
        <v>17</v>
      </c>
      <c r="K132">
        <v>8</v>
      </c>
      <c r="L132" t="str">
        <f t="shared" si="6"/>
        <v>26-35</v>
      </c>
      <c r="M132" t="str">
        <f t="shared" si="7"/>
        <v>Casual Viewer</v>
      </c>
      <c r="N132" t="str">
        <f t="shared" si="8"/>
        <v>Low</v>
      </c>
    </row>
    <row r="133" spans="1:14" ht="15.75" customHeight="1">
      <c r="A133" t="s">
        <v>196</v>
      </c>
      <c r="B133">
        <v>22</v>
      </c>
      <c r="C133" t="s">
        <v>12</v>
      </c>
      <c r="D133" t="s">
        <v>47</v>
      </c>
      <c r="E133" t="s">
        <v>65</v>
      </c>
      <c r="F133" t="s">
        <v>50</v>
      </c>
      <c r="G133">
        <v>3</v>
      </c>
      <c r="H133">
        <v>3</v>
      </c>
      <c r="I133" t="s">
        <v>16</v>
      </c>
      <c r="J133" t="s">
        <v>32</v>
      </c>
      <c r="K133">
        <v>8</v>
      </c>
      <c r="L133" t="str">
        <f t="shared" si="6"/>
        <v>18-25</v>
      </c>
      <c r="M133" t="str">
        <f t="shared" si="7"/>
        <v>Regular Viewer</v>
      </c>
      <c r="N133" t="str">
        <f t="shared" si="8"/>
        <v>Low</v>
      </c>
    </row>
    <row r="134" spans="1:14" ht="15.75" customHeight="1">
      <c r="A134" t="s">
        <v>197</v>
      </c>
      <c r="B134">
        <v>21</v>
      </c>
      <c r="C134" t="s">
        <v>24</v>
      </c>
      <c r="D134" t="s">
        <v>38</v>
      </c>
      <c r="E134" t="s">
        <v>49</v>
      </c>
      <c r="F134" t="s">
        <v>50</v>
      </c>
      <c r="G134">
        <v>4</v>
      </c>
      <c r="H134">
        <v>9</v>
      </c>
      <c r="I134" t="s">
        <v>22</v>
      </c>
      <c r="J134" t="s">
        <v>32</v>
      </c>
      <c r="K134">
        <v>8</v>
      </c>
      <c r="L134" t="str">
        <f t="shared" si="6"/>
        <v>18-25</v>
      </c>
      <c r="M134" t="str">
        <f t="shared" si="7"/>
        <v>Regular Viewer</v>
      </c>
      <c r="N134" t="str">
        <f t="shared" si="8"/>
        <v>Medium</v>
      </c>
    </row>
    <row r="135" spans="1:14" ht="15.75" customHeight="1">
      <c r="A135" t="s">
        <v>198</v>
      </c>
      <c r="B135">
        <v>30</v>
      </c>
      <c r="C135" t="s">
        <v>12</v>
      </c>
      <c r="D135" t="s">
        <v>58</v>
      </c>
      <c r="E135" t="s">
        <v>88</v>
      </c>
      <c r="F135" t="s">
        <v>15</v>
      </c>
      <c r="G135">
        <v>3</v>
      </c>
      <c r="H135">
        <v>2</v>
      </c>
      <c r="I135" t="s">
        <v>16</v>
      </c>
      <c r="J135" t="s">
        <v>17</v>
      </c>
      <c r="K135">
        <v>9</v>
      </c>
      <c r="L135" t="str">
        <f t="shared" si="6"/>
        <v>26-35</v>
      </c>
      <c r="M135" t="str">
        <f t="shared" si="7"/>
        <v>Regular Viewer</v>
      </c>
      <c r="N135" t="str">
        <f t="shared" si="8"/>
        <v>Low</v>
      </c>
    </row>
    <row r="136" spans="1:14" ht="15.75" customHeight="1">
      <c r="A136" t="s">
        <v>199</v>
      </c>
      <c r="B136">
        <v>19</v>
      </c>
      <c r="C136" t="s">
        <v>12</v>
      </c>
      <c r="D136" t="s">
        <v>34</v>
      </c>
      <c r="E136" t="s">
        <v>45</v>
      </c>
      <c r="F136" t="s">
        <v>30</v>
      </c>
      <c r="G136">
        <v>5</v>
      </c>
      <c r="H136">
        <v>11</v>
      </c>
      <c r="I136" t="s">
        <v>31</v>
      </c>
      <c r="J136" t="s">
        <v>17</v>
      </c>
      <c r="K136">
        <v>8</v>
      </c>
      <c r="L136" t="str">
        <f t="shared" si="6"/>
        <v>18-25</v>
      </c>
      <c r="M136" t="str">
        <f t="shared" si="7"/>
        <v>Binge Watcher</v>
      </c>
      <c r="N136" t="str">
        <f t="shared" si="8"/>
        <v>High</v>
      </c>
    </row>
    <row r="137" spans="1:14" ht="15.75" customHeight="1">
      <c r="A137" t="s">
        <v>200</v>
      </c>
      <c r="B137">
        <v>19</v>
      </c>
      <c r="C137" t="s">
        <v>24</v>
      </c>
      <c r="D137" t="s">
        <v>62</v>
      </c>
      <c r="E137" t="s">
        <v>52</v>
      </c>
      <c r="F137" t="s">
        <v>53</v>
      </c>
      <c r="G137">
        <v>4</v>
      </c>
      <c r="H137">
        <v>2</v>
      </c>
      <c r="I137" t="s">
        <v>31</v>
      </c>
      <c r="J137" t="s">
        <v>32</v>
      </c>
      <c r="K137">
        <v>9</v>
      </c>
      <c r="L137" t="str">
        <f t="shared" si="6"/>
        <v>18-25</v>
      </c>
      <c r="M137" t="str">
        <f t="shared" si="7"/>
        <v>Regular Viewer</v>
      </c>
      <c r="N137" t="str">
        <f t="shared" si="8"/>
        <v>Low</v>
      </c>
    </row>
    <row r="138" spans="1:14" ht="15.75" customHeight="1">
      <c r="A138" t="s">
        <v>201</v>
      </c>
      <c r="B138">
        <v>24</v>
      </c>
      <c r="C138" t="s">
        <v>24</v>
      </c>
      <c r="D138" t="s">
        <v>38</v>
      </c>
      <c r="E138" t="s">
        <v>43</v>
      </c>
      <c r="F138" t="s">
        <v>30</v>
      </c>
      <c r="G138">
        <v>3</v>
      </c>
      <c r="H138">
        <v>4</v>
      </c>
      <c r="I138" t="s">
        <v>31</v>
      </c>
      <c r="J138" t="s">
        <v>17</v>
      </c>
      <c r="K138">
        <v>4</v>
      </c>
      <c r="L138" t="str">
        <f t="shared" si="6"/>
        <v>18-25</v>
      </c>
      <c r="M138" t="str">
        <f t="shared" si="7"/>
        <v>Regular Viewer</v>
      </c>
      <c r="N138" t="str">
        <f t="shared" si="8"/>
        <v>Low</v>
      </c>
    </row>
    <row r="139" spans="1:14" ht="15.75" customHeight="1">
      <c r="A139" t="s">
        <v>202</v>
      </c>
      <c r="B139">
        <v>40</v>
      </c>
      <c r="C139" t="s">
        <v>24</v>
      </c>
      <c r="D139" t="s">
        <v>62</v>
      </c>
      <c r="E139" t="s">
        <v>98</v>
      </c>
      <c r="F139" t="s">
        <v>50</v>
      </c>
      <c r="G139">
        <v>1</v>
      </c>
      <c r="H139">
        <v>3</v>
      </c>
      <c r="I139" t="s">
        <v>22</v>
      </c>
      <c r="J139" t="s">
        <v>32</v>
      </c>
      <c r="K139">
        <v>8</v>
      </c>
      <c r="L139" t="str">
        <f t="shared" si="6"/>
        <v>36-45</v>
      </c>
      <c r="M139" t="str">
        <f t="shared" si="7"/>
        <v>Casual Viewer</v>
      </c>
      <c r="N139" t="str">
        <f t="shared" si="8"/>
        <v>Low</v>
      </c>
    </row>
    <row r="140" spans="1:14" ht="15.75" customHeight="1">
      <c r="A140" t="s">
        <v>203</v>
      </c>
      <c r="B140">
        <v>22</v>
      </c>
      <c r="C140" t="s">
        <v>12</v>
      </c>
      <c r="D140" t="s">
        <v>19</v>
      </c>
      <c r="E140" t="s">
        <v>65</v>
      </c>
      <c r="F140" t="s">
        <v>50</v>
      </c>
      <c r="G140">
        <v>5</v>
      </c>
      <c r="H140">
        <v>3</v>
      </c>
      <c r="I140" t="s">
        <v>22</v>
      </c>
      <c r="J140" t="s">
        <v>17</v>
      </c>
      <c r="K140">
        <v>8</v>
      </c>
      <c r="L140" t="str">
        <f t="shared" si="6"/>
        <v>18-25</v>
      </c>
      <c r="M140" t="str">
        <f t="shared" si="7"/>
        <v>Binge Watcher</v>
      </c>
      <c r="N140" t="str">
        <f t="shared" si="8"/>
        <v>Low</v>
      </c>
    </row>
    <row r="141" spans="1:14" ht="15.75" customHeight="1">
      <c r="A141" t="s">
        <v>204</v>
      </c>
      <c r="B141">
        <v>27</v>
      </c>
      <c r="C141" t="s">
        <v>12</v>
      </c>
      <c r="D141" t="s">
        <v>38</v>
      </c>
      <c r="E141" t="s">
        <v>86</v>
      </c>
      <c r="F141" t="s">
        <v>53</v>
      </c>
      <c r="G141">
        <v>3</v>
      </c>
      <c r="H141">
        <v>13</v>
      </c>
      <c r="I141" t="s">
        <v>22</v>
      </c>
      <c r="J141" t="s">
        <v>32</v>
      </c>
      <c r="K141">
        <v>10</v>
      </c>
      <c r="L141" t="str">
        <f t="shared" si="6"/>
        <v>26-35</v>
      </c>
      <c r="M141" t="str">
        <f t="shared" si="7"/>
        <v>Regular Viewer</v>
      </c>
      <c r="N141" t="str">
        <f t="shared" si="8"/>
        <v>High</v>
      </c>
    </row>
    <row r="142" spans="1:14" ht="15.75" customHeight="1">
      <c r="A142" t="s">
        <v>205</v>
      </c>
      <c r="B142">
        <v>20</v>
      </c>
      <c r="C142" t="s">
        <v>12</v>
      </c>
      <c r="D142" t="s">
        <v>34</v>
      </c>
      <c r="E142" t="s">
        <v>45</v>
      </c>
      <c r="F142" t="s">
        <v>30</v>
      </c>
      <c r="G142">
        <v>3</v>
      </c>
      <c r="H142">
        <v>3</v>
      </c>
      <c r="I142" t="s">
        <v>22</v>
      </c>
      <c r="J142" t="s">
        <v>32</v>
      </c>
      <c r="K142">
        <v>2</v>
      </c>
      <c r="L142" t="str">
        <f t="shared" si="6"/>
        <v>18-25</v>
      </c>
      <c r="M142" t="str">
        <f t="shared" si="7"/>
        <v>Regular Viewer</v>
      </c>
      <c r="N142" t="str">
        <f t="shared" si="8"/>
        <v>Low</v>
      </c>
    </row>
    <row r="143" spans="1:14" ht="15.75" customHeight="1">
      <c r="A143" t="s">
        <v>206</v>
      </c>
      <c r="B143">
        <v>25</v>
      </c>
      <c r="C143" t="s">
        <v>24</v>
      </c>
      <c r="D143" t="s">
        <v>13</v>
      </c>
      <c r="E143" t="s">
        <v>29</v>
      </c>
      <c r="F143" t="s">
        <v>30</v>
      </c>
      <c r="G143">
        <v>1</v>
      </c>
      <c r="H143">
        <v>10</v>
      </c>
      <c r="I143" t="s">
        <v>22</v>
      </c>
      <c r="J143" t="s">
        <v>17</v>
      </c>
      <c r="K143">
        <v>3</v>
      </c>
      <c r="L143" t="str">
        <f t="shared" si="6"/>
        <v>18-25</v>
      </c>
      <c r="M143" t="str">
        <f t="shared" si="7"/>
        <v>Casual Viewer</v>
      </c>
      <c r="N143" t="str">
        <f t="shared" si="8"/>
        <v>Medium</v>
      </c>
    </row>
    <row r="144" spans="1:14" ht="15.75" customHeight="1">
      <c r="A144" t="s">
        <v>207</v>
      </c>
      <c r="B144">
        <v>18</v>
      </c>
      <c r="C144" t="s">
        <v>24</v>
      </c>
      <c r="D144" t="s">
        <v>42</v>
      </c>
      <c r="E144" t="s">
        <v>63</v>
      </c>
      <c r="F144" t="s">
        <v>50</v>
      </c>
      <c r="G144">
        <v>5</v>
      </c>
      <c r="H144">
        <v>12</v>
      </c>
      <c r="I144" t="s">
        <v>16</v>
      </c>
      <c r="J144" t="s">
        <v>32</v>
      </c>
      <c r="K144">
        <v>10</v>
      </c>
      <c r="L144" t="str">
        <f t="shared" si="6"/>
        <v>18-25</v>
      </c>
      <c r="M144" t="str">
        <f t="shared" si="7"/>
        <v>Binge Watcher</v>
      </c>
      <c r="N144" t="str">
        <f t="shared" si="8"/>
        <v>High</v>
      </c>
    </row>
    <row r="145" spans="1:14" ht="15.75" customHeight="1">
      <c r="A145" t="s">
        <v>208</v>
      </c>
      <c r="B145">
        <v>20</v>
      </c>
      <c r="C145" t="s">
        <v>12</v>
      </c>
      <c r="D145" t="s">
        <v>42</v>
      </c>
      <c r="E145" t="s">
        <v>98</v>
      </c>
      <c r="F145" t="s">
        <v>50</v>
      </c>
      <c r="G145">
        <v>5</v>
      </c>
      <c r="H145">
        <v>3</v>
      </c>
      <c r="I145" t="s">
        <v>16</v>
      </c>
      <c r="J145" t="s">
        <v>32</v>
      </c>
      <c r="K145">
        <v>8</v>
      </c>
      <c r="L145" t="str">
        <f t="shared" si="6"/>
        <v>18-25</v>
      </c>
      <c r="M145" t="str">
        <f t="shared" si="7"/>
        <v>Binge Watcher</v>
      </c>
      <c r="N145" t="str">
        <f t="shared" si="8"/>
        <v>Low</v>
      </c>
    </row>
    <row r="146" spans="1:14" ht="15.75" customHeight="1">
      <c r="A146" t="s">
        <v>209</v>
      </c>
      <c r="B146">
        <v>44</v>
      </c>
      <c r="C146" t="s">
        <v>24</v>
      </c>
      <c r="D146" t="s">
        <v>13</v>
      </c>
      <c r="E146" t="s">
        <v>144</v>
      </c>
      <c r="F146" t="s">
        <v>145</v>
      </c>
      <c r="G146">
        <v>2</v>
      </c>
      <c r="H146">
        <v>5</v>
      </c>
      <c r="I146" t="s">
        <v>16</v>
      </c>
      <c r="J146" t="s">
        <v>32</v>
      </c>
      <c r="K146">
        <v>10</v>
      </c>
      <c r="L146" t="str">
        <f t="shared" si="6"/>
        <v>36-45</v>
      </c>
      <c r="M146" t="str">
        <f t="shared" si="7"/>
        <v>Casual Viewer</v>
      </c>
      <c r="N146" t="str">
        <f t="shared" si="8"/>
        <v>Low</v>
      </c>
    </row>
    <row r="147" spans="1:14" ht="15.75" customHeight="1">
      <c r="A147" t="s">
        <v>210</v>
      </c>
      <c r="B147">
        <v>25</v>
      </c>
      <c r="C147" t="s">
        <v>24</v>
      </c>
      <c r="D147" t="s">
        <v>19</v>
      </c>
      <c r="E147" t="s">
        <v>55</v>
      </c>
      <c r="F147" t="s">
        <v>56</v>
      </c>
      <c r="G147">
        <v>5</v>
      </c>
      <c r="H147">
        <v>12</v>
      </c>
      <c r="I147" t="s">
        <v>22</v>
      </c>
      <c r="J147" t="s">
        <v>17</v>
      </c>
      <c r="K147">
        <v>9</v>
      </c>
      <c r="L147" t="str">
        <f t="shared" si="6"/>
        <v>18-25</v>
      </c>
      <c r="M147" t="str">
        <f t="shared" si="7"/>
        <v>Binge Watcher</v>
      </c>
      <c r="N147" t="str">
        <f t="shared" si="8"/>
        <v>High</v>
      </c>
    </row>
    <row r="148" spans="1:14" ht="15.75" customHeight="1">
      <c r="A148" t="s">
        <v>211</v>
      </c>
      <c r="B148">
        <v>25</v>
      </c>
      <c r="C148" t="s">
        <v>12</v>
      </c>
      <c r="D148" t="s">
        <v>58</v>
      </c>
      <c r="E148" t="s">
        <v>60</v>
      </c>
      <c r="F148" t="s">
        <v>53</v>
      </c>
      <c r="G148">
        <v>4</v>
      </c>
      <c r="H148">
        <v>15</v>
      </c>
      <c r="I148" t="s">
        <v>31</v>
      </c>
      <c r="J148" t="s">
        <v>17</v>
      </c>
      <c r="K148">
        <v>10</v>
      </c>
      <c r="L148" t="str">
        <f t="shared" si="6"/>
        <v>18-25</v>
      </c>
      <c r="M148" t="str">
        <f t="shared" si="7"/>
        <v>Regular Viewer</v>
      </c>
      <c r="N148" t="str">
        <f t="shared" si="8"/>
        <v>High</v>
      </c>
    </row>
    <row r="149" spans="1:14" ht="15.75" customHeight="1">
      <c r="A149" t="s">
        <v>212</v>
      </c>
      <c r="B149">
        <v>34</v>
      </c>
      <c r="C149" t="s">
        <v>12</v>
      </c>
      <c r="D149" t="s">
        <v>62</v>
      </c>
      <c r="E149" t="s">
        <v>84</v>
      </c>
      <c r="F149" t="s">
        <v>30</v>
      </c>
      <c r="G149">
        <v>1</v>
      </c>
      <c r="H149">
        <v>3</v>
      </c>
      <c r="I149" t="s">
        <v>31</v>
      </c>
      <c r="J149" t="s">
        <v>17</v>
      </c>
      <c r="K149">
        <v>9</v>
      </c>
      <c r="L149" t="str">
        <f t="shared" si="6"/>
        <v>26-35</v>
      </c>
      <c r="M149" t="str">
        <f t="shared" si="7"/>
        <v>Casual Viewer</v>
      </c>
      <c r="N149" t="str">
        <f t="shared" si="8"/>
        <v>Low</v>
      </c>
    </row>
    <row r="150" spans="1:14" ht="15.75" customHeight="1">
      <c r="A150" t="s">
        <v>213</v>
      </c>
      <c r="B150">
        <v>21</v>
      </c>
      <c r="C150" t="s">
        <v>24</v>
      </c>
      <c r="D150" t="s">
        <v>19</v>
      </c>
      <c r="E150" t="s">
        <v>144</v>
      </c>
      <c r="F150" t="s">
        <v>145</v>
      </c>
      <c r="G150">
        <v>2</v>
      </c>
      <c r="H150">
        <v>14</v>
      </c>
      <c r="I150" t="s">
        <v>16</v>
      </c>
      <c r="J150" t="s">
        <v>32</v>
      </c>
      <c r="K150">
        <v>8</v>
      </c>
      <c r="L150" t="str">
        <f t="shared" si="6"/>
        <v>18-25</v>
      </c>
      <c r="M150" t="str">
        <f t="shared" si="7"/>
        <v>Casual Viewer</v>
      </c>
      <c r="N150" t="str">
        <f t="shared" si="8"/>
        <v>High</v>
      </c>
    </row>
    <row r="151" spans="1:14" ht="15.75" customHeight="1">
      <c r="A151" t="s">
        <v>214</v>
      </c>
      <c r="B151">
        <v>20</v>
      </c>
      <c r="C151" t="s">
        <v>24</v>
      </c>
      <c r="D151" t="s">
        <v>47</v>
      </c>
      <c r="E151" t="s">
        <v>43</v>
      </c>
      <c r="F151" t="s">
        <v>30</v>
      </c>
      <c r="G151">
        <v>1</v>
      </c>
      <c r="H151">
        <v>13</v>
      </c>
      <c r="I151" t="s">
        <v>22</v>
      </c>
      <c r="J151" t="s">
        <v>32</v>
      </c>
      <c r="K151">
        <v>8</v>
      </c>
      <c r="L151" t="str">
        <f t="shared" si="6"/>
        <v>18-25</v>
      </c>
      <c r="M151" t="str">
        <f t="shared" si="7"/>
        <v>Casual Viewer</v>
      </c>
      <c r="N151" t="str">
        <f t="shared" si="8"/>
        <v>High</v>
      </c>
    </row>
    <row r="152" spans="1:14" ht="15.75" customHeight="1">
      <c r="A152" t="s">
        <v>215</v>
      </c>
      <c r="B152">
        <v>22</v>
      </c>
      <c r="C152" t="s">
        <v>24</v>
      </c>
      <c r="D152" t="s">
        <v>19</v>
      </c>
      <c r="E152" t="s">
        <v>20</v>
      </c>
      <c r="F152" t="s">
        <v>21</v>
      </c>
      <c r="G152">
        <v>3</v>
      </c>
      <c r="H152">
        <v>4</v>
      </c>
      <c r="I152" t="s">
        <v>31</v>
      </c>
      <c r="J152" t="s">
        <v>32</v>
      </c>
      <c r="K152">
        <v>7</v>
      </c>
      <c r="L152" t="str">
        <f t="shared" si="6"/>
        <v>18-25</v>
      </c>
      <c r="M152" t="str">
        <f t="shared" si="7"/>
        <v>Regular Viewer</v>
      </c>
      <c r="N152" t="str">
        <f t="shared" si="8"/>
        <v>Low</v>
      </c>
    </row>
    <row r="153" spans="1:14" ht="15.75" customHeight="1">
      <c r="A153" t="s">
        <v>216</v>
      </c>
      <c r="B153">
        <v>34</v>
      </c>
      <c r="C153" t="s">
        <v>24</v>
      </c>
      <c r="D153" t="s">
        <v>19</v>
      </c>
      <c r="E153" t="s">
        <v>78</v>
      </c>
      <c r="F153" t="s">
        <v>15</v>
      </c>
      <c r="G153">
        <v>1</v>
      </c>
      <c r="H153">
        <v>12</v>
      </c>
      <c r="I153" t="s">
        <v>22</v>
      </c>
      <c r="J153" t="s">
        <v>32</v>
      </c>
      <c r="K153">
        <v>9</v>
      </c>
      <c r="L153" t="str">
        <f t="shared" si="6"/>
        <v>26-35</v>
      </c>
      <c r="M153" t="str">
        <f t="shared" si="7"/>
        <v>Casual Viewer</v>
      </c>
      <c r="N153" t="str">
        <f t="shared" si="8"/>
        <v>High</v>
      </c>
    </row>
    <row r="154" spans="1:14" ht="15.75" customHeight="1">
      <c r="A154" t="s">
        <v>217</v>
      </c>
      <c r="B154">
        <v>20</v>
      </c>
      <c r="C154" t="s">
        <v>12</v>
      </c>
      <c r="D154" t="s">
        <v>40</v>
      </c>
      <c r="E154" t="s">
        <v>84</v>
      </c>
      <c r="F154" t="s">
        <v>30</v>
      </c>
      <c r="G154">
        <v>1</v>
      </c>
      <c r="H154">
        <v>10</v>
      </c>
      <c r="I154" t="s">
        <v>31</v>
      </c>
      <c r="J154" t="s">
        <v>17</v>
      </c>
      <c r="K154">
        <v>8</v>
      </c>
      <c r="L154" t="str">
        <f t="shared" si="6"/>
        <v>18-25</v>
      </c>
      <c r="M154" t="str">
        <f t="shared" si="7"/>
        <v>Casual Viewer</v>
      </c>
      <c r="N154" t="str">
        <f t="shared" si="8"/>
        <v>Medium</v>
      </c>
    </row>
    <row r="155" spans="1:14" ht="15.75" customHeight="1">
      <c r="A155" t="s">
        <v>218</v>
      </c>
      <c r="B155">
        <v>25</v>
      </c>
      <c r="C155" t="s">
        <v>12</v>
      </c>
      <c r="D155" t="s">
        <v>40</v>
      </c>
      <c r="E155" t="s">
        <v>125</v>
      </c>
      <c r="F155" t="s">
        <v>126</v>
      </c>
      <c r="G155">
        <v>4</v>
      </c>
      <c r="H155">
        <v>10</v>
      </c>
      <c r="I155" t="s">
        <v>31</v>
      </c>
      <c r="J155" t="s">
        <v>32</v>
      </c>
      <c r="K155">
        <v>9</v>
      </c>
      <c r="L155" t="str">
        <f t="shared" si="6"/>
        <v>18-25</v>
      </c>
      <c r="M155" t="str">
        <f t="shared" si="7"/>
        <v>Regular Viewer</v>
      </c>
      <c r="N155" t="str">
        <f t="shared" si="8"/>
        <v>Medium</v>
      </c>
    </row>
    <row r="156" spans="1:14" ht="15.75" customHeight="1">
      <c r="A156" t="s">
        <v>219</v>
      </c>
      <c r="B156">
        <v>22</v>
      </c>
      <c r="C156" t="s">
        <v>24</v>
      </c>
      <c r="D156" t="s">
        <v>40</v>
      </c>
      <c r="E156" t="s">
        <v>60</v>
      </c>
      <c r="F156" t="s">
        <v>53</v>
      </c>
      <c r="G156">
        <v>4</v>
      </c>
      <c r="H156">
        <v>15</v>
      </c>
      <c r="I156" t="s">
        <v>31</v>
      </c>
      <c r="J156" t="s">
        <v>32</v>
      </c>
      <c r="K156">
        <v>9</v>
      </c>
      <c r="L156" t="str">
        <f t="shared" si="6"/>
        <v>18-25</v>
      </c>
      <c r="M156" t="str">
        <f t="shared" si="7"/>
        <v>Regular Viewer</v>
      </c>
      <c r="N156" t="str">
        <f t="shared" si="8"/>
        <v>High</v>
      </c>
    </row>
    <row r="157" spans="1:14" ht="15.75" customHeight="1">
      <c r="A157" t="s">
        <v>220</v>
      </c>
      <c r="B157">
        <v>21</v>
      </c>
      <c r="C157" t="s">
        <v>12</v>
      </c>
      <c r="D157" t="s">
        <v>13</v>
      </c>
      <c r="E157" t="s">
        <v>78</v>
      </c>
      <c r="F157" t="s">
        <v>15</v>
      </c>
      <c r="G157">
        <v>1</v>
      </c>
      <c r="H157">
        <v>5</v>
      </c>
      <c r="I157" t="s">
        <v>16</v>
      </c>
      <c r="J157" t="s">
        <v>17</v>
      </c>
      <c r="K157">
        <v>9</v>
      </c>
      <c r="L157" t="str">
        <f t="shared" si="6"/>
        <v>18-25</v>
      </c>
      <c r="M157" t="str">
        <f t="shared" si="7"/>
        <v>Casual Viewer</v>
      </c>
      <c r="N157" t="str">
        <f t="shared" si="8"/>
        <v>Low</v>
      </c>
    </row>
    <row r="158" spans="1:14" ht="15.75" customHeight="1">
      <c r="A158" t="s">
        <v>221</v>
      </c>
      <c r="B158">
        <v>19</v>
      </c>
      <c r="C158" t="s">
        <v>12</v>
      </c>
      <c r="D158" t="s">
        <v>13</v>
      </c>
      <c r="E158" t="s">
        <v>67</v>
      </c>
      <c r="F158" t="s">
        <v>30</v>
      </c>
      <c r="G158">
        <v>3</v>
      </c>
      <c r="H158">
        <v>1</v>
      </c>
      <c r="I158" t="s">
        <v>16</v>
      </c>
      <c r="J158" t="s">
        <v>32</v>
      </c>
      <c r="K158">
        <v>10</v>
      </c>
      <c r="L158" t="str">
        <f t="shared" si="6"/>
        <v>18-25</v>
      </c>
      <c r="M158" t="str">
        <f t="shared" si="7"/>
        <v>Regular Viewer</v>
      </c>
      <c r="N158" t="str">
        <f t="shared" si="8"/>
        <v>Low</v>
      </c>
    </row>
    <row r="159" spans="1:14" ht="15.75" customHeight="1">
      <c r="A159" t="s">
        <v>222</v>
      </c>
      <c r="B159">
        <v>36</v>
      </c>
      <c r="C159" t="s">
        <v>24</v>
      </c>
      <c r="D159" t="s">
        <v>42</v>
      </c>
      <c r="E159" t="s">
        <v>60</v>
      </c>
      <c r="F159" t="s">
        <v>53</v>
      </c>
      <c r="G159">
        <v>4</v>
      </c>
      <c r="H159">
        <v>11</v>
      </c>
      <c r="I159" t="s">
        <v>31</v>
      </c>
      <c r="J159" t="s">
        <v>32</v>
      </c>
      <c r="K159">
        <v>10</v>
      </c>
      <c r="L159" t="str">
        <f t="shared" si="6"/>
        <v>36-45</v>
      </c>
      <c r="M159" t="str">
        <f t="shared" si="7"/>
        <v>Regular Viewer</v>
      </c>
      <c r="N159" t="str">
        <f t="shared" si="8"/>
        <v>High</v>
      </c>
    </row>
    <row r="160" spans="1:14" ht="15.75" customHeight="1">
      <c r="A160" t="s">
        <v>223</v>
      </c>
      <c r="B160">
        <v>20</v>
      </c>
      <c r="C160" t="s">
        <v>24</v>
      </c>
      <c r="D160" t="s">
        <v>47</v>
      </c>
      <c r="E160" t="s">
        <v>20</v>
      </c>
      <c r="F160" t="s">
        <v>21</v>
      </c>
      <c r="G160">
        <v>3</v>
      </c>
      <c r="H160">
        <v>9</v>
      </c>
      <c r="I160" t="s">
        <v>31</v>
      </c>
      <c r="J160" t="s">
        <v>32</v>
      </c>
      <c r="K160">
        <v>7</v>
      </c>
      <c r="L160" t="str">
        <f t="shared" si="6"/>
        <v>18-25</v>
      </c>
      <c r="M160" t="str">
        <f t="shared" si="7"/>
        <v>Regular Viewer</v>
      </c>
      <c r="N160" t="str">
        <f t="shared" si="8"/>
        <v>Medium</v>
      </c>
    </row>
    <row r="161" spans="1:14" ht="15.75" customHeight="1">
      <c r="A161" t="s">
        <v>224</v>
      </c>
      <c r="B161">
        <v>32</v>
      </c>
      <c r="C161" t="s">
        <v>12</v>
      </c>
      <c r="D161" t="s">
        <v>38</v>
      </c>
      <c r="E161" t="s">
        <v>52</v>
      </c>
      <c r="F161" t="s">
        <v>53</v>
      </c>
      <c r="G161">
        <v>5</v>
      </c>
      <c r="H161">
        <v>12</v>
      </c>
      <c r="I161" t="s">
        <v>22</v>
      </c>
      <c r="J161" t="s">
        <v>17</v>
      </c>
      <c r="K161">
        <v>9</v>
      </c>
      <c r="L161" t="str">
        <f t="shared" si="6"/>
        <v>26-35</v>
      </c>
      <c r="M161" t="str">
        <f t="shared" si="7"/>
        <v>Binge Watcher</v>
      </c>
      <c r="N161" t="str">
        <f t="shared" si="8"/>
        <v>High</v>
      </c>
    </row>
    <row r="162" spans="1:14" ht="15.75" customHeight="1">
      <c r="A162" t="s">
        <v>225</v>
      </c>
      <c r="B162">
        <v>20</v>
      </c>
      <c r="C162" t="s">
        <v>24</v>
      </c>
      <c r="D162" t="s">
        <v>58</v>
      </c>
      <c r="E162" t="s">
        <v>63</v>
      </c>
      <c r="F162" t="s">
        <v>50</v>
      </c>
      <c r="G162">
        <v>2</v>
      </c>
      <c r="H162">
        <v>10</v>
      </c>
      <c r="I162" t="s">
        <v>31</v>
      </c>
      <c r="J162" t="s">
        <v>17</v>
      </c>
      <c r="K162">
        <v>9</v>
      </c>
      <c r="L162" t="str">
        <f t="shared" si="6"/>
        <v>18-25</v>
      </c>
      <c r="M162" t="str">
        <f t="shared" si="7"/>
        <v>Casual Viewer</v>
      </c>
      <c r="N162" t="str">
        <f t="shared" si="8"/>
        <v>Medium</v>
      </c>
    </row>
    <row r="163" spans="1:14" ht="15.75" customHeight="1">
      <c r="A163" t="s">
        <v>226</v>
      </c>
      <c r="B163">
        <v>21</v>
      </c>
      <c r="C163" t="s">
        <v>12</v>
      </c>
      <c r="D163" t="s">
        <v>42</v>
      </c>
      <c r="E163" t="s">
        <v>35</v>
      </c>
      <c r="F163" t="s">
        <v>36</v>
      </c>
      <c r="G163">
        <v>1</v>
      </c>
      <c r="H163">
        <v>11</v>
      </c>
      <c r="I163" t="s">
        <v>16</v>
      </c>
      <c r="J163" t="s">
        <v>17</v>
      </c>
      <c r="K163">
        <v>5</v>
      </c>
      <c r="L163" t="str">
        <f t="shared" si="6"/>
        <v>18-25</v>
      </c>
      <c r="M163" t="str">
        <f t="shared" si="7"/>
        <v>Casual Viewer</v>
      </c>
      <c r="N163" t="str">
        <f t="shared" si="8"/>
        <v>High</v>
      </c>
    </row>
    <row r="164" spans="1:14" ht="15.75" customHeight="1">
      <c r="A164" t="s">
        <v>227</v>
      </c>
      <c r="B164">
        <v>34</v>
      </c>
      <c r="C164" t="s">
        <v>24</v>
      </c>
      <c r="D164" t="s">
        <v>58</v>
      </c>
      <c r="E164" t="s">
        <v>139</v>
      </c>
      <c r="F164" t="s">
        <v>140</v>
      </c>
      <c r="G164">
        <v>2</v>
      </c>
      <c r="H164">
        <v>8</v>
      </c>
      <c r="I164" t="s">
        <v>16</v>
      </c>
      <c r="J164" t="s">
        <v>17</v>
      </c>
      <c r="K164">
        <v>8</v>
      </c>
      <c r="L164" t="str">
        <f t="shared" si="6"/>
        <v>26-35</v>
      </c>
      <c r="M164" t="str">
        <f t="shared" si="7"/>
        <v>Casual Viewer</v>
      </c>
      <c r="N164" t="str">
        <f t="shared" si="8"/>
        <v>Medium</v>
      </c>
    </row>
    <row r="165" spans="1:14" ht="15.75" customHeight="1">
      <c r="A165" t="s">
        <v>228</v>
      </c>
      <c r="B165">
        <v>18</v>
      </c>
      <c r="C165" t="s">
        <v>24</v>
      </c>
      <c r="D165" t="s">
        <v>38</v>
      </c>
      <c r="E165" t="s">
        <v>65</v>
      </c>
      <c r="F165" t="s">
        <v>50</v>
      </c>
      <c r="G165">
        <v>5</v>
      </c>
      <c r="H165">
        <v>3</v>
      </c>
      <c r="I165" t="s">
        <v>16</v>
      </c>
      <c r="J165" t="s">
        <v>17</v>
      </c>
      <c r="K165">
        <v>9</v>
      </c>
      <c r="L165" t="str">
        <f t="shared" si="6"/>
        <v>18-25</v>
      </c>
      <c r="M165" t="str">
        <f t="shared" si="7"/>
        <v>Binge Watcher</v>
      </c>
      <c r="N165" t="str">
        <f t="shared" si="8"/>
        <v>Low</v>
      </c>
    </row>
    <row r="166" spans="1:14" ht="15.75" customHeight="1">
      <c r="A166" t="s">
        <v>229</v>
      </c>
      <c r="B166">
        <v>21</v>
      </c>
      <c r="C166" t="s">
        <v>24</v>
      </c>
      <c r="D166" t="s">
        <v>34</v>
      </c>
      <c r="E166" t="s">
        <v>139</v>
      </c>
      <c r="F166" t="s">
        <v>140</v>
      </c>
      <c r="G166">
        <v>5</v>
      </c>
      <c r="H166">
        <v>13</v>
      </c>
      <c r="I166" t="s">
        <v>16</v>
      </c>
      <c r="J166" t="s">
        <v>32</v>
      </c>
      <c r="K166">
        <v>4</v>
      </c>
      <c r="L166" t="str">
        <f t="shared" si="6"/>
        <v>18-25</v>
      </c>
      <c r="M166" t="str">
        <f t="shared" si="7"/>
        <v>Binge Watcher</v>
      </c>
      <c r="N166" t="str">
        <f t="shared" si="8"/>
        <v>High</v>
      </c>
    </row>
    <row r="167" spans="1:14" ht="15.75" customHeight="1">
      <c r="A167" t="s">
        <v>230</v>
      </c>
      <c r="B167">
        <v>22</v>
      </c>
      <c r="C167" t="s">
        <v>12</v>
      </c>
      <c r="D167" t="s">
        <v>40</v>
      </c>
      <c r="E167" t="s">
        <v>144</v>
      </c>
      <c r="F167" t="s">
        <v>145</v>
      </c>
      <c r="G167">
        <v>6</v>
      </c>
      <c r="H167">
        <v>1</v>
      </c>
      <c r="I167" t="s">
        <v>22</v>
      </c>
      <c r="J167" t="s">
        <v>32</v>
      </c>
      <c r="K167">
        <v>5</v>
      </c>
      <c r="L167" t="str">
        <f t="shared" si="6"/>
        <v>18-25</v>
      </c>
      <c r="M167" t="str">
        <f t="shared" si="7"/>
        <v>Binge Watcher</v>
      </c>
      <c r="N167" t="str">
        <f t="shared" si="8"/>
        <v>Low</v>
      </c>
    </row>
    <row r="168" spans="1:14" ht="15.75" customHeight="1">
      <c r="A168" t="s">
        <v>231</v>
      </c>
      <c r="B168">
        <v>30</v>
      </c>
      <c r="C168" t="s">
        <v>24</v>
      </c>
      <c r="D168" t="s">
        <v>47</v>
      </c>
      <c r="E168" t="s">
        <v>52</v>
      </c>
      <c r="F168" t="s">
        <v>53</v>
      </c>
      <c r="G168">
        <v>3</v>
      </c>
      <c r="H168">
        <v>10</v>
      </c>
      <c r="I168" t="s">
        <v>31</v>
      </c>
      <c r="J168" t="s">
        <v>32</v>
      </c>
      <c r="K168">
        <v>10</v>
      </c>
      <c r="L168" t="str">
        <f t="shared" si="6"/>
        <v>26-35</v>
      </c>
      <c r="M168" t="str">
        <f t="shared" si="7"/>
        <v>Regular Viewer</v>
      </c>
      <c r="N168" t="str">
        <f t="shared" si="8"/>
        <v>Medium</v>
      </c>
    </row>
    <row r="169" spans="1:14" ht="15.75" customHeight="1">
      <c r="A169" t="s">
        <v>232</v>
      </c>
      <c r="B169">
        <v>35</v>
      </c>
      <c r="C169" t="s">
        <v>12</v>
      </c>
      <c r="D169" t="s">
        <v>38</v>
      </c>
      <c r="E169" t="s">
        <v>63</v>
      </c>
      <c r="F169" t="s">
        <v>50</v>
      </c>
      <c r="G169">
        <v>4</v>
      </c>
      <c r="H169">
        <v>7</v>
      </c>
      <c r="I169" t="s">
        <v>22</v>
      </c>
      <c r="J169" t="s">
        <v>17</v>
      </c>
      <c r="K169">
        <v>10</v>
      </c>
      <c r="L169" t="str">
        <f t="shared" si="6"/>
        <v>26-35</v>
      </c>
      <c r="M169" t="str">
        <f t="shared" si="7"/>
        <v>Regular Viewer</v>
      </c>
      <c r="N169" t="str">
        <f t="shared" si="8"/>
        <v>Medium</v>
      </c>
    </row>
    <row r="170" spans="1:14" ht="15.75" customHeight="1">
      <c r="A170" t="s">
        <v>233</v>
      </c>
      <c r="B170">
        <v>27</v>
      </c>
      <c r="C170" t="s">
        <v>12</v>
      </c>
      <c r="D170" t="s">
        <v>47</v>
      </c>
      <c r="E170" t="s">
        <v>55</v>
      </c>
      <c r="F170" t="s">
        <v>56</v>
      </c>
      <c r="G170">
        <v>1</v>
      </c>
      <c r="H170">
        <v>8</v>
      </c>
      <c r="I170" t="s">
        <v>16</v>
      </c>
      <c r="J170" t="s">
        <v>32</v>
      </c>
      <c r="K170">
        <v>9</v>
      </c>
      <c r="L170" t="str">
        <f t="shared" si="6"/>
        <v>26-35</v>
      </c>
      <c r="M170" t="str">
        <f t="shared" si="7"/>
        <v>Casual Viewer</v>
      </c>
      <c r="N170" t="str">
        <f t="shared" si="8"/>
        <v>Medium</v>
      </c>
    </row>
    <row r="171" spans="1:14" ht="15.75" customHeight="1">
      <c r="A171" t="s">
        <v>234</v>
      </c>
      <c r="B171">
        <v>19</v>
      </c>
      <c r="C171" t="s">
        <v>24</v>
      </c>
      <c r="D171" t="s">
        <v>19</v>
      </c>
      <c r="E171" t="s">
        <v>52</v>
      </c>
      <c r="F171" t="s">
        <v>53</v>
      </c>
      <c r="G171">
        <v>5</v>
      </c>
      <c r="H171">
        <v>8</v>
      </c>
      <c r="I171" t="s">
        <v>22</v>
      </c>
      <c r="J171" t="s">
        <v>32</v>
      </c>
      <c r="K171">
        <v>9</v>
      </c>
      <c r="L171" t="str">
        <f t="shared" si="6"/>
        <v>18-25</v>
      </c>
      <c r="M171" t="str">
        <f t="shared" si="7"/>
        <v>Binge Watcher</v>
      </c>
      <c r="N171" t="str">
        <f t="shared" si="8"/>
        <v>Medium</v>
      </c>
    </row>
    <row r="172" spans="1:14" ht="15.75" customHeight="1">
      <c r="A172" t="s">
        <v>235</v>
      </c>
      <c r="B172">
        <v>37</v>
      </c>
      <c r="C172" t="s">
        <v>24</v>
      </c>
      <c r="D172" t="s">
        <v>40</v>
      </c>
      <c r="E172" t="s">
        <v>88</v>
      </c>
      <c r="F172" t="s">
        <v>15</v>
      </c>
      <c r="G172">
        <v>5</v>
      </c>
      <c r="H172">
        <v>3</v>
      </c>
      <c r="I172" t="s">
        <v>31</v>
      </c>
      <c r="J172" t="s">
        <v>32</v>
      </c>
      <c r="K172">
        <v>4</v>
      </c>
      <c r="L172" t="str">
        <f t="shared" si="6"/>
        <v>36-45</v>
      </c>
      <c r="M172" t="str">
        <f t="shared" si="7"/>
        <v>Binge Watcher</v>
      </c>
      <c r="N172" t="str">
        <f t="shared" si="8"/>
        <v>Low</v>
      </c>
    </row>
    <row r="173" spans="1:14" ht="15.75" customHeight="1">
      <c r="A173" t="s">
        <v>236</v>
      </c>
      <c r="B173">
        <v>18</v>
      </c>
      <c r="C173" t="s">
        <v>24</v>
      </c>
      <c r="D173" t="s">
        <v>62</v>
      </c>
      <c r="E173" t="s">
        <v>70</v>
      </c>
      <c r="F173" t="s">
        <v>15</v>
      </c>
      <c r="G173">
        <v>4</v>
      </c>
      <c r="H173">
        <v>5</v>
      </c>
      <c r="I173" t="s">
        <v>31</v>
      </c>
      <c r="J173" t="s">
        <v>32</v>
      </c>
      <c r="K173">
        <v>9</v>
      </c>
      <c r="L173" t="str">
        <f t="shared" si="6"/>
        <v>18-25</v>
      </c>
      <c r="M173" t="str">
        <f t="shared" si="7"/>
        <v>Regular Viewer</v>
      </c>
      <c r="N173" t="str">
        <f t="shared" si="8"/>
        <v>Low</v>
      </c>
    </row>
    <row r="174" spans="1:14" ht="15.75" customHeight="1">
      <c r="A174" t="s">
        <v>237</v>
      </c>
      <c r="B174">
        <v>19</v>
      </c>
      <c r="C174" t="s">
        <v>12</v>
      </c>
      <c r="D174" t="s">
        <v>47</v>
      </c>
      <c r="E174" t="s">
        <v>49</v>
      </c>
      <c r="F174" t="s">
        <v>50</v>
      </c>
      <c r="G174">
        <v>1</v>
      </c>
      <c r="H174">
        <v>3</v>
      </c>
      <c r="I174" t="s">
        <v>31</v>
      </c>
      <c r="J174" t="s">
        <v>17</v>
      </c>
      <c r="K174">
        <v>8</v>
      </c>
      <c r="L174" t="str">
        <f t="shared" si="6"/>
        <v>18-25</v>
      </c>
      <c r="M174" t="str">
        <f t="shared" si="7"/>
        <v>Casual Viewer</v>
      </c>
      <c r="N174" t="str">
        <f t="shared" si="8"/>
        <v>Low</v>
      </c>
    </row>
    <row r="175" spans="1:14" ht="15.75" customHeight="1">
      <c r="A175" t="s">
        <v>238</v>
      </c>
      <c r="B175">
        <v>26</v>
      </c>
      <c r="C175" t="s">
        <v>12</v>
      </c>
      <c r="D175" t="s">
        <v>38</v>
      </c>
      <c r="E175" t="s">
        <v>55</v>
      </c>
      <c r="F175" t="s">
        <v>56</v>
      </c>
      <c r="G175">
        <v>2</v>
      </c>
      <c r="H175">
        <v>12</v>
      </c>
      <c r="I175" t="s">
        <v>31</v>
      </c>
      <c r="J175" t="s">
        <v>32</v>
      </c>
      <c r="K175">
        <v>6</v>
      </c>
      <c r="L175" t="str">
        <f t="shared" si="6"/>
        <v>26-35</v>
      </c>
      <c r="M175" t="str">
        <f t="shared" si="7"/>
        <v>Casual Viewer</v>
      </c>
      <c r="N175" t="str">
        <f t="shared" si="8"/>
        <v>High</v>
      </c>
    </row>
    <row r="176" spans="1:14" ht="15.75" customHeight="1">
      <c r="A176" t="s">
        <v>239</v>
      </c>
      <c r="B176">
        <v>31</v>
      </c>
      <c r="C176" t="s">
        <v>12</v>
      </c>
      <c r="D176" t="s">
        <v>47</v>
      </c>
      <c r="E176" t="s">
        <v>65</v>
      </c>
      <c r="F176" t="s">
        <v>50</v>
      </c>
      <c r="G176">
        <v>2</v>
      </c>
      <c r="H176">
        <v>12</v>
      </c>
      <c r="I176" t="s">
        <v>22</v>
      </c>
      <c r="J176" t="s">
        <v>32</v>
      </c>
      <c r="K176">
        <v>7</v>
      </c>
      <c r="L176" t="str">
        <f t="shared" si="6"/>
        <v>26-35</v>
      </c>
      <c r="M176" t="str">
        <f t="shared" si="7"/>
        <v>Casual Viewer</v>
      </c>
      <c r="N176" t="str">
        <f t="shared" si="8"/>
        <v>High</v>
      </c>
    </row>
    <row r="177" spans="1:14" ht="15.75" customHeight="1">
      <c r="A177" t="s">
        <v>240</v>
      </c>
      <c r="B177">
        <v>22</v>
      </c>
      <c r="C177" t="s">
        <v>24</v>
      </c>
      <c r="D177" t="s">
        <v>28</v>
      </c>
      <c r="E177" t="s">
        <v>95</v>
      </c>
      <c r="F177" t="s">
        <v>50</v>
      </c>
      <c r="G177">
        <v>2</v>
      </c>
      <c r="H177">
        <v>2</v>
      </c>
      <c r="I177" t="s">
        <v>16</v>
      </c>
      <c r="J177" t="s">
        <v>32</v>
      </c>
      <c r="K177">
        <v>9</v>
      </c>
      <c r="L177" t="str">
        <f t="shared" si="6"/>
        <v>18-25</v>
      </c>
      <c r="M177" t="str">
        <f t="shared" si="7"/>
        <v>Casual Viewer</v>
      </c>
      <c r="N177" t="str">
        <f t="shared" si="8"/>
        <v>Low</v>
      </c>
    </row>
    <row r="178" spans="1:14" ht="15.75" customHeight="1">
      <c r="A178" t="s">
        <v>241</v>
      </c>
      <c r="B178">
        <v>33</v>
      </c>
      <c r="C178" t="s">
        <v>24</v>
      </c>
      <c r="D178" t="s">
        <v>40</v>
      </c>
      <c r="E178" t="s">
        <v>125</v>
      </c>
      <c r="F178" t="s">
        <v>126</v>
      </c>
      <c r="G178">
        <v>3</v>
      </c>
      <c r="H178">
        <v>1</v>
      </c>
      <c r="I178" t="s">
        <v>16</v>
      </c>
      <c r="J178" t="s">
        <v>32</v>
      </c>
      <c r="K178">
        <v>4</v>
      </c>
      <c r="L178" t="str">
        <f t="shared" si="6"/>
        <v>26-35</v>
      </c>
      <c r="M178" t="str">
        <f t="shared" si="7"/>
        <v>Regular Viewer</v>
      </c>
      <c r="N178" t="str">
        <f t="shared" si="8"/>
        <v>Low</v>
      </c>
    </row>
    <row r="179" spans="1:14" ht="15.75" customHeight="1">
      <c r="A179" t="s">
        <v>242</v>
      </c>
      <c r="B179">
        <v>24</v>
      </c>
      <c r="C179" t="s">
        <v>24</v>
      </c>
      <c r="D179" t="s">
        <v>47</v>
      </c>
      <c r="E179" t="s">
        <v>125</v>
      </c>
      <c r="F179" t="s">
        <v>126</v>
      </c>
      <c r="G179">
        <v>3</v>
      </c>
      <c r="H179">
        <v>3</v>
      </c>
      <c r="I179" t="s">
        <v>31</v>
      </c>
      <c r="J179" t="s">
        <v>32</v>
      </c>
      <c r="K179">
        <v>1</v>
      </c>
      <c r="L179" t="str">
        <f t="shared" si="6"/>
        <v>18-25</v>
      </c>
      <c r="M179" t="str">
        <f t="shared" si="7"/>
        <v>Regular Viewer</v>
      </c>
      <c r="N179" t="str">
        <f t="shared" si="8"/>
        <v>Low</v>
      </c>
    </row>
    <row r="180" spans="1:14" ht="15.75" customHeight="1">
      <c r="A180" t="s">
        <v>243</v>
      </c>
      <c r="B180">
        <v>23</v>
      </c>
      <c r="C180" t="s">
        <v>24</v>
      </c>
      <c r="D180" t="s">
        <v>34</v>
      </c>
      <c r="E180" t="s">
        <v>45</v>
      </c>
      <c r="F180" t="s">
        <v>30</v>
      </c>
      <c r="G180">
        <v>2</v>
      </c>
      <c r="H180">
        <v>2</v>
      </c>
      <c r="I180" t="s">
        <v>16</v>
      </c>
      <c r="J180" t="s">
        <v>17</v>
      </c>
      <c r="K180">
        <v>3</v>
      </c>
      <c r="L180" t="str">
        <f t="shared" si="6"/>
        <v>18-25</v>
      </c>
      <c r="M180" t="str">
        <f t="shared" si="7"/>
        <v>Casual Viewer</v>
      </c>
      <c r="N180" t="str">
        <f t="shared" si="8"/>
        <v>Low</v>
      </c>
    </row>
    <row r="181" spans="1:14" ht="15.75" customHeight="1">
      <c r="A181" t="s">
        <v>244</v>
      </c>
      <c r="B181">
        <v>25</v>
      </c>
      <c r="C181" t="s">
        <v>24</v>
      </c>
      <c r="D181" t="s">
        <v>62</v>
      </c>
      <c r="E181" t="s">
        <v>88</v>
      </c>
      <c r="F181" t="s">
        <v>15</v>
      </c>
      <c r="G181">
        <v>4</v>
      </c>
      <c r="H181">
        <v>9</v>
      </c>
      <c r="I181" t="s">
        <v>16</v>
      </c>
      <c r="J181" t="s">
        <v>32</v>
      </c>
      <c r="K181">
        <v>9</v>
      </c>
      <c r="L181" t="str">
        <f t="shared" si="6"/>
        <v>18-25</v>
      </c>
      <c r="M181" t="str">
        <f t="shared" si="7"/>
        <v>Regular Viewer</v>
      </c>
      <c r="N181" t="str">
        <f t="shared" si="8"/>
        <v>Medium</v>
      </c>
    </row>
    <row r="182" spans="1:14" ht="15.75" customHeight="1">
      <c r="A182" t="s">
        <v>245</v>
      </c>
      <c r="B182">
        <v>18</v>
      </c>
      <c r="C182" t="s">
        <v>12</v>
      </c>
      <c r="D182" t="s">
        <v>42</v>
      </c>
      <c r="E182" t="s">
        <v>125</v>
      </c>
      <c r="F182" t="s">
        <v>126</v>
      </c>
      <c r="G182">
        <v>4</v>
      </c>
      <c r="H182">
        <v>7</v>
      </c>
      <c r="I182" t="s">
        <v>22</v>
      </c>
      <c r="J182" t="s">
        <v>32</v>
      </c>
      <c r="K182">
        <v>4</v>
      </c>
      <c r="L182" t="str">
        <f t="shared" si="6"/>
        <v>18-25</v>
      </c>
      <c r="M182" t="str">
        <f t="shared" si="7"/>
        <v>Regular Viewer</v>
      </c>
      <c r="N182" t="str">
        <f t="shared" si="8"/>
        <v>Medium</v>
      </c>
    </row>
    <row r="183" spans="1:14" ht="15.75" customHeight="1">
      <c r="A183" t="s">
        <v>246</v>
      </c>
      <c r="B183">
        <v>19</v>
      </c>
      <c r="C183" t="s">
        <v>24</v>
      </c>
      <c r="D183" t="s">
        <v>40</v>
      </c>
      <c r="E183" t="s">
        <v>78</v>
      </c>
      <c r="F183" t="s">
        <v>15</v>
      </c>
      <c r="G183">
        <v>3</v>
      </c>
      <c r="H183">
        <v>4</v>
      </c>
      <c r="I183" t="s">
        <v>31</v>
      </c>
      <c r="J183" t="s">
        <v>32</v>
      </c>
      <c r="K183">
        <v>9</v>
      </c>
      <c r="L183" t="str">
        <f t="shared" si="6"/>
        <v>18-25</v>
      </c>
      <c r="M183" t="str">
        <f t="shared" si="7"/>
        <v>Regular Viewer</v>
      </c>
      <c r="N183" t="str">
        <f t="shared" si="8"/>
        <v>Low</v>
      </c>
    </row>
    <row r="184" spans="1:14" ht="15.75" customHeight="1">
      <c r="A184" t="s">
        <v>247</v>
      </c>
      <c r="B184">
        <v>49</v>
      </c>
      <c r="C184" t="s">
        <v>24</v>
      </c>
      <c r="D184" t="s">
        <v>19</v>
      </c>
      <c r="E184" t="s">
        <v>43</v>
      </c>
      <c r="F184" t="s">
        <v>30</v>
      </c>
      <c r="G184">
        <v>2</v>
      </c>
      <c r="H184">
        <v>15</v>
      </c>
      <c r="I184" t="s">
        <v>16</v>
      </c>
      <c r="J184" t="s">
        <v>17</v>
      </c>
      <c r="K184">
        <v>6</v>
      </c>
      <c r="L184" t="str">
        <f t="shared" si="6"/>
        <v>46+</v>
      </c>
      <c r="M184" t="str">
        <f t="shared" si="7"/>
        <v>Casual Viewer</v>
      </c>
      <c r="N184" t="str">
        <f t="shared" si="8"/>
        <v>High</v>
      </c>
    </row>
    <row r="185" spans="1:14" ht="15.75" customHeight="1">
      <c r="A185" t="s">
        <v>248</v>
      </c>
      <c r="B185">
        <v>21</v>
      </c>
      <c r="C185" t="s">
        <v>24</v>
      </c>
      <c r="D185" t="s">
        <v>34</v>
      </c>
      <c r="E185" t="s">
        <v>35</v>
      </c>
      <c r="F185" t="s">
        <v>36</v>
      </c>
      <c r="G185">
        <v>3</v>
      </c>
      <c r="H185">
        <v>9</v>
      </c>
      <c r="I185" t="s">
        <v>16</v>
      </c>
      <c r="J185" t="s">
        <v>17</v>
      </c>
      <c r="K185">
        <v>8</v>
      </c>
      <c r="L185" t="str">
        <f t="shared" si="6"/>
        <v>18-25</v>
      </c>
      <c r="M185" t="str">
        <f t="shared" si="7"/>
        <v>Regular Viewer</v>
      </c>
      <c r="N185" t="str">
        <f t="shared" si="8"/>
        <v>Medium</v>
      </c>
    </row>
    <row r="186" spans="1:14" ht="15.75" customHeight="1">
      <c r="A186" t="s">
        <v>249</v>
      </c>
      <c r="B186">
        <v>24</v>
      </c>
      <c r="C186" t="s">
        <v>24</v>
      </c>
      <c r="D186" t="s">
        <v>28</v>
      </c>
      <c r="E186" t="s">
        <v>88</v>
      </c>
      <c r="F186" t="s">
        <v>15</v>
      </c>
      <c r="G186">
        <v>3</v>
      </c>
      <c r="H186">
        <v>13</v>
      </c>
      <c r="I186" t="s">
        <v>31</v>
      </c>
      <c r="J186" t="s">
        <v>17</v>
      </c>
      <c r="K186">
        <v>4</v>
      </c>
      <c r="L186" t="str">
        <f t="shared" si="6"/>
        <v>18-25</v>
      </c>
      <c r="M186" t="str">
        <f t="shared" si="7"/>
        <v>Regular Viewer</v>
      </c>
      <c r="N186" t="str">
        <f t="shared" si="8"/>
        <v>High</v>
      </c>
    </row>
    <row r="187" spans="1:14" ht="15.75" customHeight="1">
      <c r="A187" t="s">
        <v>250</v>
      </c>
      <c r="B187">
        <v>35</v>
      </c>
      <c r="C187" t="s">
        <v>12</v>
      </c>
      <c r="D187" t="s">
        <v>34</v>
      </c>
      <c r="E187" t="s">
        <v>98</v>
      </c>
      <c r="F187" t="s">
        <v>50</v>
      </c>
      <c r="G187">
        <v>5</v>
      </c>
      <c r="H187">
        <v>9</v>
      </c>
      <c r="I187" t="s">
        <v>31</v>
      </c>
      <c r="J187" t="s">
        <v>17</v>
      </c>
      <c r="K187">
        <v>9</v>
      </c>
      <c r="L187" t="str">
        <f t="shared" si="6"/>
        <v>26-35</v>
      </c>
      <c r="M187" t="str">
        <f t="shared" si="7"/>
        <v>Binge Watcher</v>
      </c>
      <c r="N187" t="str">
        <f t="shared" si="8"/>
        <v>Medium</v>
      </c>
    </row>
    <row r="188" spans="1:14" ht="15.75" customHeight="1">
      <c r="A188" t="s">
        <v>251</v>
      </c>
      <c r="B188">
        <v>25</v>
      </c>
      <c r="C188" t="s">
        <v>24</v>
      </c>
      <c r="D188" t="s">
        <v>38</v>
      </c>
      <c r="E188" t="s">
        <v>67</v>
      </c>
      <c r="F188" t="s">
        <v>30</v>
      </c>
      <c r="G188">
        <v>2</v>
      </c>
      <c r="H188">
        <v>10</v>
      </c>
      <c r="I188" t="s">
        <v>16</v>
      </c>
      <c r="J188" t="s">
        <v>32</v>
      </c>
      <c r="K188">
        <v>6</v>
      </c>
      <c r="L188" t="str">
        <f t="shared" si="6"/>
        <v>18-25</v>
      </c>
      <c r="M188" t="str">
        <f t="shared" si="7"/>
        <v>Casual Viewer</v>
      </c>
      <c r="N188" t="str">
        <f t="shared" si="8"/>
        <v>Medium</v>
      </c>
    </row>
    <row r="189" spans="1:14" ht="15.75" customHeight="1">
      <c r="A189" t="s">
        <v>252</v>
      </c>
      <c r="B189">
        <v>24</v>
      </c>
      <c r="C189" t="s">
        <v>12</v>
      </c>
      <c r="D189" t="s">
        <v>28</v>
      </c>
      <c r="E189" t="s">
        <v>98</v>
      </c>
      <c r="F189" t="s">
        <v>50</v>
      </c>
      <c r="G189">
        <v>4</v>
      </c>
      <c r="H189">
        <v>8</v>
      </c>
      <c r="I189" t="s">
        <v>16</v>
      </c>
      <c r="J189" t="s">
        <v>32</v>
      </c>
      <c r="K189">
        <v>9</v>
      </c>
      <c r="L189" t="str">
        <f t="shared" si="6"/>
        <v>18-25</v>
      </c>
      <c r="M189" t="str">
        <f t="shared" si="7"/>
        <v>Regular Viewer</v>
      </c>
      <c r="N189" t="str">
        <f t="shared" si="8"/>
        <v>Medium</v>
      </c>
    </row>
    <row r="190" spans="1:14" ht="15.75" customHeight="1">
      <c r="A190" t="s">
        <v>253</v>
      </c>
      <c r="B190">
        <v>27</v>
      </c>
      <c r="C190" t="s">
        <v>12</v>
      </c>
      <c r="D190" t="s">
        <v>47</v>
      </c>
      <c r="E190" t="s">
        <v>84</v>
      </c>
      <c r="F190" t="s">
        <v>30</v>
      </c>
      <c r="G190">
        <v>5</v>
      </c>
      <c r="H190">
        <v>2</v>
      </c>
      <c r="I190" t="s">
        <v>22</v>
      </c>
      <c r="J190" t="s">
        <v>32</v>
      </c>
      <c r="K190">
        <v>5</v>
      </c>
      <c r="L190" t="str">
        <f t="shared" si="6"/>
        <v>26-35</v>
      </c>
      <c r="M190" t="str">
        <f t="shared" si="7"/>
        <v>Binge Watcher</v>
      </c>
      <c r="N190" t="str">
        <f t="shared" si="8"/>
        <v>Low</v>
      </c>
    </row>
    <row r="191" spans="1:14" ht="15.75" customHeight="1">
      <c r="A191" t="s">
        <v>254</v>
      </c>
      <c r="B191">
        <v>20</v>
      </c>
      <c r="C191" t="s">
        <v>24</v>
      </c>
      <c r="D191" t="s">
        <v>28</v>
      </c>
      <c r="E191" t="s">
        <v>25</v>
      </c>
      <c r="F191" t="s">
        <v>26</v>
      </c>
      <c r="G191">
        <v>1</v>
      </c>
      <c r="H191">
        <v>10</v>
      </c>
      <c r="I191" t="s">
        <v>31</v>
      </c>
      <c r="J191" t="s">
        <v>17</v>
      </c>
      <c r="K191">
        <v>10</v>
      </c>
      <c r="L191" t="str">
        <f t="shared" si="6"/>
        <v>18-25</v>
      </c>
      <c r="M191" t="str">
        <f t="shared" si="7"/>
        <v>Casual Viewer</v>
      </c>
      <c r="N191" t="str">
        <f t="shared" si="8"/>
        <v>Medium</v>
      </c>
    </row>
    <row r="192" spans="1:14" ht="15.75" customHeight="1">
      <c r="A192" t="s">
        <v>255</v>
      </c>
      <c r="B192">
        <v>28</v>
      </c>
      <c r="C192" t="s">
        <v>12</v>
      </c>
      <c r="D192" t="s">
        <v>28</v>
      </c>
      <c r="E192" t="s">
        <v>65</v>
      </c>
      <c r="F192" t="s">
        <v>50</v>
      </c>
      <c r="G192">
        <v>4</v>
      </c>
      <c r="H192">
        <v>10</v>
      </c>
      <c r="I192" t="s">
        <v>16</v>
      </c>
      <c r="J192" t="s">
        <v>17</v>
      </c>
      <c r="K192">
        <v>9</v>
      </c>
      <c r="L192" t="str">
        <f t="shared" si="6"/>
        <v>26-35</v>
      </c>
      <c r="M192" t="str">
        <f t="shared" si="7"/>
        <v>Regular Viewer</v>
      </c>
      <c r="N192" t="str">
        <f t="shared" si="8"/>
        <v>Medium</v>
      </c>
    </row>
    <row r="193" spans="1:14" ht="15.75" customHeight="1">
      <c r="A193" t="s">
        <v>256</v>
      </c>
      <c r="B193">
        <v>57</v>
      </c>
      <c r="C193" t="s">
        <v>24</v>
      </c>
      <c r="D193" t="s">
        <v>42</v>
      </c>
      <c r="E193" t="s">
        <v>29</v>
      </c>
      <c r="F193" t="s">
        <v>30</v>
      </c>
      <c r="G193">
        <v>1</v>
      </c>
      <c r="H193">
        <v>9</v>
      </c>
      <c r="I193" t="s">
        <v>31</v>
      </c>
      <c r="J193" t="s">
        <v>17</v>
      </c>
      <c r="K193">
        <v>5</v>
      </c>
      <c r="L193" t="str">
        <f t="shared" si="6"/>
        <v>46+</v>
      </c>
      <c r="M193" t="str">
        <f t="shared" si="7"/>
        <v>Casual Viewer</v>
      </c>
      <c r="N193" t="str">
        <f t="shared" si="8"/>
        <v>Medium</v>
      </c>
    </row>
    <row r="194" spans="1:14" ht="15.75" customHeight="1">
      <c r="A194" t="s">
        <v>257</v>
      </c>
      <c r="B194">
        <v>18</v>
      </c>
      <c r="C194" t="s">
        <v>12</v>
      </c>
      <c r="D194" t="s">
        <v>34</v>
      </c>
      <c r="E194" t="s">
        <v>60</v>
      </c>
      <c r="F194" t="s">
        <v>53</v>
      </c>
      <c r="G194">
        <v>4</v>
      </c>
      <c r="H194">
        <v>13</v>
      </c>
      <c r="I194" t="s">
        <v>16</v>
      </c>
      <c r="J194" t="s">
        <v>17</v>
      </c>
      <c r="K194">
        <v>10</v>
      </c>
      <c r="L194" t="str">
        <f t="shared" si="6"/>
        <v>18-25</v>
      </c>
      <c r="M194" t="str">
        <f t="shared" si="7"/>
        <v>Regular Viewer</v>
      </c>
      <c r="N194" t="str">
        <f t="shared" si="8"/>
        <v>High</v>
      </c>
    </row>
    <row r="195" spans="1:14" ht="15.75" customHeight="1">
      <c r="A195" t="s">
        <v>258</v>
      </c>
      <c r="B195">
        <v>39</v>
      </c>
      <c r="C195" t="s">
        <v>24</v>
      </c>
      <c r="D195" t="s">
        <v>19</v>
      </c>
      <c r="E195" t="s">
        <v>29</v>
      </c>
      <c r="F195" t="s">
        <v>30</v>
      </c>
      <c r="G195">
        <v>2</v>
      </c>
      <c r="H195">
        <v>8</v>
      </c>
      <c r="I195" t="s">
        <v>22</v>
      </c>
      <c r="J195" t="s">
        <v>32</v>
      </c>
      <c r="K195">
        <v>6</v>
      </c>
      <c r="L195" t="str">
        <f t="shared" ref="L195:L258" si="9">IF(B195&lt;=25,"18-25",IF(B195&lt;=35,"26-35",IF(B195&lt;=45,"36-45","46+")))</f>
        <v>36-45</v>
      </c>
      <c r="M195" t="str">
        <f t="shared" ref="M195:M258" si="10">IF(G195&lt;=2,"Casual Viewer",IF(G195&lt;=4,"Regular Viewer","Binge Watcher"))</f>
        <v>Casual Viewer</v>
      </c>
      <c r="N195" t="str">
        <f t="shared" ref="N195:N258" si="11">IF(H195&lt;=5,"Low",IF(H195&lt;=10,"Medium","High"))</f>
        <v>Medium</v>
      </c>
    </row>
    <row r="196" spans="1:14" ht="15.75" customHeight="1">
      <c r="A196" t="s">
        <v>259</v>
      </c>
      <c r="B196">
        <v>20</v>
      </c>
      <c r="C196" t="s">
        <v>12</v>
      </c>
      <c r="D196" t="s">
        <v>28</v>
      </c>
      <c r="E196" t="s">
        <v>95</v>
      </c>
      <c r="F196" t="s">
        <v>50</v>
      </c>
      <c r="G196">
        <v>3</v>
      </c>
      <c r="H196">
        <v>3</v>
      </c>
      <c r="I196" t="s">
        <v>16</v>
      </c>
      <c r="J196" t="s">
        <v>17</v>
      </c>
      <c r="K196">
        <v>8</v>
      </c>
      <c r="L196" t="str">
        <f t="shared" si="9"/>
        <v>18-25</v>
      </c>
      <c r="M196" t="str">
        <f t="shared" si="10"/>
        <v>Regular Viewer</v>
      </c>
      <c r="N196" t="str">
        <f t="shared" si="11"/>
        <v>Low</v>
      </c>
    </row>
    <row r="197" spans="1:14" ht="15.75" customHeight="1">
      <c r="A197" t="s">
        <v>260</v>
      </c>
      <c r="B197">
        <v>23</v>
      </c>
      <c r="C197" t="s">
        <v>24</v>
      </c>
      <c r="D197" t="s">
        <v>47</v>
      </c>
      <c r="E197" t="s">
        <v>70</v>
      </c>
      <c r="F197" t="s">
        <v>15</v>
      </c>
      <c r="G197">
        <v>3</v>
      </c>
      <c r="H197">
        <v>10</v>
      </c>
      <c r="I197" t="s">
        <v>16</v>
      </c>
      <c r="J197" t="s">
        <v>32</v>
      </c>
      <c r="K197">
        <v>9</v>
      </c>
      <c r="L197" t="str">
        <f t="shared" si="9"/>
        <v>18-25</v>
      </c>
      <c r="M197" t="str">
        <f t="shared" si="10"/>
        <v>Regular Viewer</v>
      </c>
      <c r="N197" t="str">
        <f t="shared" si="11"/>
        <v>Medium</v>
      </c>
    </row>
    <row r="198" spans="1:14" ht="15.75" customHeight="1">
      <c r="A198" t="s">
        <v>261</v>
      </c>
      <c r="B198">
        <v>19</v>
      </c>
      <c r="C198" t="s">
        <v>24</v>
      </c>
      <c r="D198" t="s">
        <v>42</v>
      </c>
      <c r="E198" t="s">
        <v>98</v>
      </c>
      <c r="F198" t="s">
        <v>50</v>
      </c>
      <c r="G198">
        <v>5</v>
      </c>
      <c r="H198">
        <v>4</v>
      </c>
      <c r="I198" t="s">
        <v>22</v>
      </c>
      <c r="J198" t="s">
        <v>32</v>
      </c>
      <c r="K198">
        <v>8</v>
      </c>
      <c r="L198" t="str">
        <f t="shared" si="9"/>
        <v>18-25</v>
      </c>
      <c r="M198" t="str">
        <f t="shared" si="10"/>
        <v>Binge Watcher</v>
      </c>
      <c r="N198" t="str">
        <f t="shared" si="11"/>
        <v>Low</v>
      </c>
    </row>
    <row r="199" spans="1:14" ht="15.75" customHeight="1">
      <c r="A199" t="s">
        <v>262</v>
      </c>
      <c r="B199">
        <v>23</v>
      </c>
      <c r="C199" t="s">
        <v>24</v>
      </c>
      <c r="D199" t="s">
        <v>34</v>
      </c>
      <c r="E199" t="s">
        <v>49</v>
      </c>
      <c r="F199" t="s">
        <v>50</v>
      </c>
      <c r="G199">
        <v>2</v>
      </c>
      <c r="H199">
        <v>10</v>
      </c>
      <c r="I199" t="s">
        <v>16</v>
      </c>
      <c r="J199" t="s">
        <v>17</v>
      </c>
      <c r="K199">
        <v>8</v>
      </c>
      <c r="L199" t="str">
        <f t="shared" si="9"/>
        <v>18-25</v>
      </c>
      <c r="M199" t="str">
        <f t="shared" si="10"/>
        <v>Casual Viewer</v>
      </c>
      <c r="N199" t="str">
        <f t="shared" si="11"/>
        <v>Medium</v>
      </c>
    </row>
    <row r="200" spans="1:14" ht="15.75" customHeight="1">
      <c r="A200" t="s">
        <v>263</v>
      </c>
      <c r="B200">
        <v>18</v>
      </c>
      <c r="C200" t="s">
        <v>12</v>
      </c>
      <c r="D200" t="s">
        <v>62</v>
      </c>
      <c r="E200" t="s">
        <v>95</v>
      </c>
      <c r="F200" t="s">
        <v>50</v>
      </c>
      <c r="G200">
        <v>4</v>
      </c>
      <c r="H200">
        <v>9</v>
      </c>
      <c r="I200" t="s">
        <v>22</v>
      </c>
      <c r="J200" t="s">
        <v>17</v>
      </c>
      <c r="K200">
        <v>7</v>
      </c>
      <c r="L200" t="str">
        <f t="shared" si="9"/>
        <v>18-25</v>
      </c>
      <c r="M200" t="str">
        <f t="shared" si="10"/>
        <v>Regular Viewer</v>
      </c>
      <c r="N200" t="str">
        <f t="shared" si="11"/>
        <v>Medium</v>
      </c>
    </row>
    <row r="201" spans="1:14" ht="15.75" customHeight="1">
      <c r="A201" t="s">
        <v>264</v>
      </c>
      <c r="B201">
        <v>19</v>
      </c>
      <c r="C201" t="s">
        <v>24</v>
      </c>
      <c r="D201" t="s">
        <v>40</v>
      </c>
      <c r="E201" t="s">
        <v>88</v>
      </c>
      <c r="F201" t="s">
        <v>15</v>
      </c>
      <c r="G201">
        <v>4</v>
      </c>
      <c r="H201">
        <v>8</v>
      </c>
      <c r="I201" t="s">
        <v>31</v>
      </c>
      <c r="J201" t="s">
        <v>17</v>
      </c>
      <c r="K201">
        <v>9</v>
      </c>
      <c r="L201" t="str">
        <f t="shared" si="9"/>
        <v>18-25</v>
      </c>
      <c r="M201" t="str">
        <f t="shared" si="10"/>
        <v>Regular Viewer</v>
      </c>
      <c r="N201" t="str">
        <f t="shared" si="11"/>
        <v>Medium</v>
      </c>
    </row>
    <row r="202" spans="1:14" ht="15.75" customHeight="1">
      <c r="A202" t="s">
        <v>265</v>
      </c>
      <c r="B202">
        <v>20</v>
      </c>
      <c r="C202" t="s">
        <v>12</v>
      </c>
      <c r="D202" t="s">
        <v>58</v>
      </c>
      <c r="E202" t="s">
        <v>60</v>
      </c>
      <c r="F202" t="s">
        <v>53</v>
      </c>
      <c r="G202">
        <v>2</v>
      </c>
      <c r="H202">
        <v>6</v>
      </c>
      <c r="I202" t="s">
        <v>31</v>
      </c>
      <c r="J202" t="s">
        <v>32</v>
      </c>
      <c r="K202">
        <v>9</v>
      </c>
      <c r="L202" t="str">
        <f t="shared" si="9"/>
        <v>18-25</v>
      </c>
      <c r="M202" t="str">
        <f t="shared" si="10"/>
        <v>Casual Viewer</v>
      </c>
      <c r="N202" t="str">
        <f t="shared" si="11"/>
        <v>Medium</v>
      </c>
    </row>
    <row r="203" spans="1:14" ht="15.75" customHeight="1">
      <c r="A203" t="s">
        <v>266</v>
      </c>
      <c r="B203">
        <v>24</v>
      </c>
      <c r="C203" t="s">
        <v>24</v>
      </c>
      <c r="D203" t="s">
        <v>42</v>
      </c>
      <c r="E203" t="s">
        <v>70</v>
      </c>
      <c r="F203" t="s">
        <v>15</v>
      </c>
      <c r="G203">
        <v>4</v>
      </c>
      <c r="H203">
        <v>12</v>
      </c>
      <c r="I203" t="s">
        <v>16</v>
      </c>
      <c r="J203" t="s">
        <v>32</v>
      </c>
      <c r="K203">
        <v>9</v>
      </c>
      <c r="L203" t="str">
        <f t="shared" si="9"/>
        <v>18-25</v>
      </c>
      <c r="M203" t="str">
        <f t="shared" si="10"/>
        <v>Regular Viewer</v>
      </c>
      <c r="N203" t="str">
        <f t="shared" si="11"/>
        <v>High</v>
      </c>
    </row>
    <row r="204" spans="1:14" ht="15.75" customHeight="1">
      <c r="A204" t="s">
        <v>267</v>
      </c>
      <c r="B204">
        <v>37</v>
      </c>
      <c r="C204" t="s">
        <v>24</v>
      </c>
      <c r="D204" t="s">
        <v>47</v>
      </c>
      <c r="E204" t="s">
        <v>125</v>
      </c>
      <c r="F204" t="s">
        <v>126</v>
      </c>
      <c r="G204">
        <v>1</v>
      </c>
      <c r="H204">
        <v>4</v>
      </c>
      <c r="I204" t="s">
        <v>22</v>
      </c>
      <c r="J204" t="s">
        <v>17</v>
      </c>
      <c r="K204">
        <v>9</v>
      </c>
      <c r="L204" t="str">
        <f t="shared" si="9"/>
        <v>36-45</v>
      </c>
      <c r="M204" t="str">
        <f t="shared" si="10"/>
        <v>Casual Viewer</v>
      </c>
      <c r="N204" t="str">
        <f t="shared" si="11"/>
        <v>Low</v>
      </c>
    </row>
    <row r="205" spans="1:14" ht="15.75" customHeight="1">
      <c r="A205" t="s">
        <v>268</v>
      </c>
      <c r="B205">
        <v>25</v>
      </c>
      <c r="C205" t="s">
        <v>24</v>
      </c>
      <c r="D205" t="s">
        <v>13</v>
      </c>
      <c r="E205" t="s">
        <v>144</v>
      </c>
      <c r="F205" t="s">
        <v>145</v>
      </c>
      <c r="G205">
        <v>3</v>
      </c>
      <c r="H205">
        <v>6</v>
      </c>
      <c r="I205" t="s">
        <v>16</v>
      </c>
      <c r="J205" t="s">
        <v>17</v>
      </c>
      <c r="K205">
        <v>10</v>
      </c>
      <c r="L205" t="str">
        <f t="shared" si="9"/>
        <v>18-25</v>
      </c>
      <c r="M205" t="str">
        <f t="shared" si="10"/>
        <v>Regular Viewer</v>
      </c>
      <c r="N205" t="str">
        <f t="shared" si="11"/>
        <v>Medium</v>
      </c>
    </row>
    <row r="206" spans="1:14" ht="15.75" customHeight="1">
      <c r="A206" t="s">
        <v>269</v>
      </c>
      <c r="B206">
        <v>29</v>
      </c>
      <c r="C206" t="s">
        <v>12</v>
      </c>
      <c r="D206" t="s">
        <v>42</v>
      </c>
      <c r="E206" t="s">
        <v>88</v>
      </c>
      <c r="F206" t="s">
        <v>15</v>
      </c>
      <c r="G206">
        <v>4</v>
      </c>
      <c r="H206">
        <v>5</v>
      </c>
      <c r="I206" t="s">
        <v>16</v>
      </c>
      <c r="J206" t="s">
        <v>17</v>
      </c>
      <c r="K206">
        <v>10</v>
      </c>
      <c r="L206" t="str">
        <f t="shared" si="9"/>
        <v>26-35</v>
      </c>
      <c r="M206" t="str">
        <f t="shared" si="10"/>
        <v>Regular Viewer</v>
      </c>
      <c r="N206" t="str">
        <f t="shared" si="11"/>
        <v>Low</v>
      </c>
    </row>
    <row r="207" spans="1:14" ht="15.75" customHeight="1">
      <c r="A207" t="s">
        <v>270</v>
      </c>
      <c r="B207">
        <v>25</v>
      </c>
      <c r="C207" t="s">
        <v>24</v>
      </c>
      <c r="D207" t="s">
        <v>38</v>
      </c>
      <c r="E207" t="s">
        <v>65</v>
      </c>
      <c r="F207" t="s">
        <v>50</v>
      </c>
      <c r="G207">
        <v>1</v>
      </c>
      <c r="H207">
        <v>10</v>
      </c>
      <c r="I207" t="s">
        <v>22</v>
      </c>
      <c r="J207" t="s">
        <v>17</v>
      </c>
      <c r="K207">
        <v>10</v>
      </c>
      <c r="L207" t="str">
        <f t="shared" si="9"/>
        <v>18-25</v>
      </c>
      <c r="M207" t="str">
        <f t="shared" si="10"/>
        <v>Casual Viewer</v>
      </c>
      <c r="N207" t="str">
        <f t="shared" si="11"/>
        <v>Medium</v>
      </c>
    </row>
    <row r="208" spans="1:14" ht="15.75" customHeight="1">
      <c r="A208" t="s">
        <v>271</v>
      </c>
      <c r="B208">
        <v>19</v>
      </c>
      <c r="C208" t="s">
        <v>24</v>
      </c>
      <c r="D208" t="s">
        <v>13</v>
      </c>
      <c r="E208" t="s">
        <v>63</v>
      </c>
      <c r="F208" t="s">
        <v>50</v>
      </c>
      <c r="G208">
        <v>5</v>
      </c>
      <c r="H208">
        <v>10</v>
      </c>
      <c r="I208" t="s">
        <v>16</v>
      </c>
      <c r="J208" t="s">
        <v>17</v>
      </c>
      <c r="K208">
        <v>10</v>
      </c>
      <c r="L208" t="str">
        <f t="shared" si="9"/>
        <v>18-25</v>
      </c>
      <c r="M208" t="str">
        <f t="shared" si="10"/>
        <v>Binge Watcher</v>
      </c>
      <c r="N208" t="str">
        <f t="shared" si="11"/>
        <v>Medium</v>
      </c>
    </row>
    <row r="209" spans="1:14" ht="15.75" customHeight="1">
      <c r="A209" t="s">
        <v>272</v>
      </c>
      <c r="B209">
        <v>27</v>
      </c>
      <c r="C209" t="s">
        <v>24</v>
      </c>
      <c r="D209" t="s">
        <v>58</v>
      </c>
      <c r="E209" t="s">
        <v>144</v>
      </c>
      <c r="F209" t="s">
        <v>145</v>
      </c>
      <c r="G209">
        <v>1</v>
      </c>
      <c r="H209">
        <v>15</v>
      </c>
      <c r="I209" t="s">
        <v>22</v>
      </c>
      <c r="J209" t="s">
        <v>17</v>
      </c>
      <c r="K209">
        <v>8</v>
      </c>
      <c r="L209" t="str">
        <f t="shared" si="9"/>
        <v>26-35</v>
      </c>
      <c r="M209" t="str">
        <f t="shared" si="10"/>
        <v>Casual Viewer</v>
      </c>
      <c r="N209" t="str">
        <f t="shared" si="11"/>
        <v>High</v>
      </c>
    </row>
    <row r="210" spans="1:14" ht="15.75" customHeight="1">
      <c r="A210" t="s">
        <v>273</v>
      </c>
      <c r="B210">
        <v>29</v>
      </c>
      <c r="C210" t="s">
        <v>24</v>
      </c>
      <c r="D210" t="s">
        <v>40</v>
      </c>
      <c r="E210" t="s">
        <v>86</v>
      </c>
      <c r="F210" t="s">
        <v>53</v>
      </c>
      <c r="G210">
        <v>4</v>
      </c>
      <c r="H210">
        <v>3</v>
      </c>
      <c r="I210" t="s">
        <v>22</v>
      </c>
      <c r="J210" t="s">
        <v>32</v>
      </c>
      <c r="K210">
        <v>9</v>
      </c>
      <c r="L210" t="str">
        <f t="shared" si="9"/>
        <v>26-35</v>
      </c>
      <c r="M210" t="str">
        <f t="shared" si="10"/>
        <v>Regular Viewer</v>
      </c>
      <c r="N210" t="str">
        <f t="shared" si="11"/>
        <v>Low</v>
      </c>
    </row>
    <row r="211" spans="1:14" ht="15.75" customHeight="1">
      <c r="A211" t="s">
        <v>274</v>
      </c>
      <c r="B211">
        <v>46</v>
      </c>
      <c r="C211" t="s">
        <v>12</v>
      </c>
      <c r="D211" t="s">
        <v>34</v>
      </c>
      <c r="E211" t="s">
        <v>52</v>
      </c>
      <c r="F211" t="s">
        <v>53</v>
      </c>
      <c r="G211">
        <v>1</v>
      </c>
      <c r="H211">
        <v>13</v>
      </c>
      <c r="I211" t="s">
        <v>31</v>
      </c>
      <c r="J211" t="s">
        <v>32</v>
      </c>
      <c r="K211">
        <v>9</v>
      </c>
      <c r="L211" t="str">
        <f t="shared" si="9"/>
        <v>46+</v>
      </c>
      <c r="M211" t="str">
        <f t="shared" si="10"/>
        <v>Casual Viewer</v>
      </c>
      <c r="N211" t="str">
        <f t="shared" si="11"/>
        <v>High</v>
      </c>
    </row>
    <row r="212" spans="1:14" ht="15.75" customHeight="1">
      <c r="A212" t="s">
        <v>275</v>
      </c>
      <c r="B212">
        <v>42</v>
      </c>
      <c r="C212" t="s">
        <v>24</v>
      </c>
      <c r="D212" t="s">
        <v>40</v>
      </c>
      <c r="E212" t="s">
        <v>139</v>
      </c>
      <c r="F212" t="s">
        <v>140</v>
      </c>
      <c r="G212">
        <v>3</v>
      </c>
      <c r="H212">
        <v>8</v>
      </c>
      <c r="I212" t="s">
        <v>31</v>
      </c>
      <c r="J212" t="s">
        <v>32</v>
      </c>
      <c r="K212">
        <v>5</v>
      </c>
      <c r="L212" t="str">
        <f t="shared" si="9"/>
        <v>36-45</v>
      </c>
      <c r="M212" t="str">
        <f t="shared" si="10"/>
        <v>Regular Viewer</v>
      </c>
      <c r="N212" t="str">
        <f t="shared" si="11"/>
        <v>Medium</v>
      </c>
    </row>
    <row r="213" spans="1:14" ht="15.75" customHeight="1">
      <c r="A213" t="s">
        <v>276</v>
      </c>
      <c r="B213">
        <v>22</v>
      </c>
      <c r="C213" t="s">
        <v>12</v>
      </c>
      <c r="D213" t="s">
        <v>62</v>
      </c>
      <c r="E213" t="s">
        <v>84</v>
      </c>
      <c r="F213" t="s">
        <v>30</v>
      </c>
      <c r="G213">
        <v>5</v>
      </c>
      <c r="H213">
        <v>4</v>
      </c>
      <c r="I213" t="s">
        <v>16</v>
      </c>
      <c r="J213" t="s">
        <v>32</v>
      </c>
      <c r="K213">
        <v>7</v>
      </c>
      <c r="L213" t="str">
        <f t="shared" si="9"/>
        <v>18-25</v>
      </c>
      <c r="M213" t="str">
        <f t="shared" si="10"/>
        <v>Binge Watcher</v>
      </c>
      <c r="N213" t="str">
        <f t="shared" si="11"/>
        <v>Low</v>
      </c>
    </row>
    <row r="214" spans="1:14" ht="15.75" customHeight="1">
      <c r="A214" t="s">
        <v>277</v>
      </c>
      <c r="B214">
        <v>28</v>
      </c>
      <c r="C214" t="s">
        <v>12</v>
      </c>
      <c r="D214" t="s">
        <v>19</v>
      </c>
      <c r="E214" t="s">
        <v>102</v>
      </c>
      <c r="F214" t="s">
        <v>103</v>
      </c>
      <c r="G214">
        <v>3</v>
      </c>
      <c r="H214">
        <v>14</v>
      </c>
      <c r="I214" t="s">
        <v>31</v>
      </c>
      <c r="J214" t="s">
        <v>32</v>
      </c>
      <c r="K214">
        <v>1</v>
      </c>
      <c r="L214" t="str">
        <f t="shared" si="9"/>
        <v>26-35</v>
      </c>
      <c r="M214" t="str">
        <f t="shared" si="10"/>
        <v>Regular Viewer</v>
      </c>
      <c r="N214" t="str">
        <f t="shared" si="11"/>
        <v>High</v>
      </c>
    </row>
    <row r="215" spans="1:14" ht="15.75" customHeight="1">
      <c r="A215" t="s">
        <v>278</v>
      </c>
      <c r="B215">
        <v>34</v>
      </c>
      <c r="C215" t="s">
        <v>24</v>
      </c>
      <c r="D215" t="s">
        <v>28</v>
      </c>
      <c r="E215" t="s">
        <v>20</v>
      </c>
      <c r="F215" t="s">
        <v>21</v>
      </c>
      <c r="G215">
        <v>3</v>
      </c>
      <c r="H215">
        <v>8</v>
      </c>
      <c r="I215" t="s">
        <v>31</v>
      </c>
      <c r="J215" t="s">
        <v>32</v>
      </c>
      <c r="K215">
        <v>2</v>
      </c>
      <c r="L215" t="str">
        <f t="shared" si="9"/>
        <v>26-35</v>
      </c>
      <c r="M215" t="str">
        <f t="shared" si="10"/>
        <v>Regular Viewer</v>
      </c>
      <c r="N215" t="str">
        <f t="shared" si="11"/>
        <v>Medium</v>
      </c>
    </row>
    <row r="216" spans="1:14" ht="15.75" customHeight="1">
      <c r="A216" t="s">
        <v>279</v>
      </c>
      <c r="B216">
        <v>18</v>
      </c>
      <c r="C216" t="s">
        <v>24</v>
      </c>
      <c r="D216" t="s">
        <v>38</v>
      </c>
      <c r="E216" t="s">
        <v>88</v>
      </c>
      <c r="F216" t="s">
        <v>15</v>
      </c>
      <c r="G216">
        <v>1</v>
      </c>
      <c r="H216">
        <v>6</v>
      </c>
      <c r="I216" t="s">
        <v>16</v>
      </c>
      <c r="J216" t="s">
        <v>17</v>
      </c>
      <c r="K216">
        <v>9</v>
      </c>
      <c r="L216" t="str">
        <f t="shared" si="9"/>
        <v>18-25</v>
      </c>
      <c r="M216" t="str">
        <f t="shared" si="10"/>
        <v>Casual Viewer</v>
      </c>
      <c r="N216" t="str">
        <f t="shared" si="11"/>
        <v>Medium</v>
      </c>
    </row>
    <row r="217" spans="1:14" ht="15.75" customHeight="1">
      <c r="A217" t="s">
        <v>280</v>
      </c>
      <c r="B217">
        <v>37</v>
      </c>
      <c r="C217" t="s">
        <v>12</v>
      </c>
      <c r="D217" t="s">
        <v>38</v>
      </c>
      <c r="E217" t="s">
        <v>65</v>
      </c>
      <c r="F217" t="s">
        <v>50</v>
      </c>
      <c r="G217">
        <v>2</v>
      </c>
      <c r="H217">
        <v>5</v>
      </c>
      <c r="I217" t="s">
        <v>22</v>
      </c>
      <c r="J217" t="s">
        <v>32</v>
      </c>
      <c r="K217">
        <v>9</v>
      </c>
      <c r="L217" t="str">
        <f t="shared" si="9"/>
        <v>36-45</v>
      </c>
      <c r="M217" t="str">
        <f t="shared" si="10"/>
        <v>Casual Viewer</v>
      </c>
      <c r="N217" t="str">
        <f t="shared" si="11"/>
        <v>Low</v>
      </c>
    </row>
    <row r="218" spans="1:14" ht="15.75" customHeight="1">
      <c r="A218" t="s">
        <v>281</v>
      </c>
      <c r="B218">
        <v>23</v>
      </c>
      <c r="C218" t="s">
        <v>12</v>
      </c>
      <c r="D218" t="s">
        <v>40</v>
      </c>
      <c r="E218" t="s">
        <v>35</v>
      </c>
      <c r="F218" t="s">
        <v>36</v>
      </c>
      <c r="G218">
        <v>4</v>
      </c>
      <c r="H218">
        <v>15</v>
      </c>
      <c r="I218" t="s">
        <v>31</v>
      </c>
      <c r="J218" t="s">
        <v>32</v>
      </c>
      <c r="K218">
        <v>9</v>
      </c>
      <c r="L218" t="str">
        <f t="shared" si="9"/>
        <v>18-25</v>
      </c>
      <c r="M218" t="str">
        <f t="shared" si="10"/>
        <v>Regular Viewer</v>
      </c>
      <c r="N218" t="str">
        <f t="shared" si="11"/>
        <v>High</v>
      </c>
    </row>
    <row r="219" spans="1:14" ht="15.75" customHeight="1">
      <c r="A219" t="s">
        <v>282</v>
      </c>
      <c r="B219">
        <v>18</v>
      </c>
      <c r="C219" t="s">
        <v>24</v>
      </c>
      <c r="D219" t="s">
        <v>58</v>
      </c>
      <c r="E219" t="s">
        <v>20</v>
      </c>
      <c r="F219" t="s">
        <v>21</v>
      </c>
      <c r="G219">
        <v>1</v>
      </c>
      <c r="H219">
        <v>8</v>
      </c>
      <c r="I219" t="s">
        <v>22</v>
      </c>
      <c r="J219" t="s">
        <v>17</v>
      </c>
      <c r="K219">
        <v>1</v>
      </c>
      <c r="L219" t="str">
        <f t="shared" si="9"/>
        <v>18-25</v>
      </c>
      <c r="M219" t="str">
        <f t="shared" si="10"/>
        <v>Casual Viewer</v>
      </c>
      <c r="N219" t="str">
        <f t="shared" si="11"/>
        <v>Medium</v>
      </c>
    </row>
    <row r="220" spans="1:14" ht="15.75" customHeight="1">
      <c r="A220" t="s">
        <v>283</v>
      </c>
      <c r="B220">
        <v>59</v>
      </c>
      <c r="C220" t="s">
        <v>12</v>
      </c>
      <c r="D220" t="s">
        <v>34</v>
      </c>
      <c r="E220" t="s">
        <v>49</v>
      </c>
      <c r="F220" t="s">
        <v>50</v>
      </c>
      <c r="G220">
        <v>1</v>
      </c>
      <c r="H220">
        <v>14</v>
      </c>
      <c r="I220" t="s">
        <v>31</v>
      </c>
      <c r="J220" t="s">
        <v>32</v>
      </c>
      <c r="K220">
        <v>9</v>
      </c>
      <c r="L220" t="str">
        <f t="shared" si="9"/>
        <v>46+</v>
      </c>
      <c r="M220" t="str">
        <f t="shared" si="10"/>
        <v>Casual Viewer</v>
      </c>
      <c r="N220" t="str">
        <f t="shared" si="11"/>
        <v>High</v>
      </c>
    </row>
    <row r="221" spans="1:14" ht="15.75" customHeight="1">
      <c r="A221" t="s">
        <v>284</v>
      </c>
      <c r="B221">
        <v>32</v>
      </c>
      <c r="C221" t="s">
        <v>24</v>
      </c>
      <c r="D221" t="s">
        <v>47</v>
      </c>
      <c r="E221" t="s">
        <v>86</v>
      </c>
      <c r="F221" t="s">
        <v>53</v>
      </c>
      <c r="G221">
        <v>4</v>
      </c>
      <c r="H221">
        <v>15</v>
      </c>
      <c r="I221" t="s">
        <v>31</v>
      </c>
      <c r="J221" t="s">
        <v>17</v>
      </c>
      <c r="K221">
        <v>9</v>
      </c>
      <c r="L221" t="str">
        <f t="shared" si="9"/>
        <v>26-35</v>
      </c>
      <c r="M221" t="str">
        <f t="shared" si="10"/>
        <v>Regular Viewer</v>
      </c>
      <c r="N221" t="str">
        <f t="shared" si="11"/>
        <v>High</v>
      </c>
    </row>
    <row r="222" spans="1:14" ht="15.75" customHeight="1">
      <c r="A222" t="s">
        <v>285</v>
      </c>
      <c r="B222">
        <v>29</v>
      </c>
      <c r="C222" t="s">
        <v>24</v>
      </c>
      <c r="D222" t="s">
        <v>34</v>
      </c>
      <c r="E222" t="s">
        <v>88</v>
      </c>
      <c r="F222" t="s">
        <v>15</v>
      </c>
      <c r="G222">
        <v>2</v>
      </c>
      <c r="H222">
        <v>1</v>
      </c>
      <c r="I222" t="s">
        <v>16</v>
      </c>
      <c r="J222" t="s">
        <v>17</v>
      </c>
      <c r="K222">
        <v>9</v>
      </c>
      <c r="L222" t="str">
        <f t="shared" si="9"/>
        <v>26-35</v>
      </c>
      <c r="M222" t="str">
        <f t="shared" si="10"/>
        <v>Casual Viewer</v>
      </c>
      <c r="N222" t="str">
        <f t="shared" si="11"/>
        <v>Low</v>
      </c>
    </row>
    <row r="223" spans="1:14" ht="15.75" customHeight="1">
      <c r="A223" t="s">
        <v>286</v>
      </c>
      <c r="B223">
        <v>20</v>
      </c>
      <c r="C223" t="s">
        <v>12</v>
      </c>
      <c r="D223" t="s">
        <v>40</v>
      </c>
      <c r="E223" t="s">
        <v>70</v>
      </c>
      <c r="F223" t="s">
        <v>15</v>
      </c>
      <c r="G223">
        <v>2</v>
      </c>
      <c r="H223">
        <v>15</v>
      </c>
      <c r="I223" t="s">
        <v>31</v>
      </c>
      <c r="J223" t="s">
        <v>32</v>
      </c>
      <c r="K223">
        <v>9</v>
      </c>
      <c r="L223" t="str">
        <f t="shared" si="9"/>
        <v>18-25</v>
      </c>
      <c r="M223" t="str">
        <f t="shared" si="10"/>
        <v>Casual Viewer</v>
      </c>
      <c r="N223" t="str">
        <f t="shared" si="11"/>
        <v>High</v>
      </c>
    </row>
    <row r="224" spans="1:14" ht="15.75" customHeight="1">
      <c r="A224" t="s">
        <v>287</v>
      </c>
      <c r="B224">
        <v>40</v>
      </c>
      <c r="C224" t="s">
        <v>24</v>
      </c>
      <c r="D224" t="s">
        <v>28</v>
      </c>
      <c r="E224" t="s">
        <v>14</v>
      </c>
      <c r="F224" t="s">
        <v>15</v>
      </c>
      <c r="G224">
        <v>4</v>
      </c>
      <c r="H224">
        <v>5</v>
      </c>
      <c r="I224" t="s">
        <v>31</v>
      </c>
      <c r="J224" t="s">
        <v>17</v>
      </c>
      <c r="K224">
        <v>9</v>
      </c>
      <c r="L224" t="str">
        <f t="shared" si="9"/>
        <v>36-45</v>
      </c>
      <c r="M224" t="str">
        <f t="shared" si="10"/>
        <v>Regular Viewer</v>
      </c>
      <c r="N224" t="str">
        <f t="shared" si="11"/>
        <v>Low</v>
      </c>
    </row>
    <row r="225" spans="1:14" ht="15.75" customHeight="1">
      <c r="A225" t="s">
        <v>288</v>
      </c>
      <c r="B225">
        <v>21</v>
      </c>
      <c r="C225" t="s">
        <v>24</v>
      </c>
      <c r="D225" t="s">
        <v>47</v>
      </c>
      <c r="E225" t="s">
        <v>20</v>
      </c>
      <c r="F225" t="s">
        <v>21</v>
      </c>
      <c r="G225">
        <v>4</v>
      </c>
      <c r="H225">
        <v>5</v>
      </c>
      <c r="I225" t="s">
        <v>22</v>
      </c>
      <c r="J225" t="s">
        <v>17</v>
      </c>
      <c r="K225">
        <v>10</v>
      </c>
      <c r="L225" t="str">
        <f t="shared" si="9"/>
        <v>18-25</v>
      </c>
      <c r="M225" t="str">
        <f t="shared" si="10"/>
        <v>Regular Viewer</v>
      </c>
      <c r="N225" t="str">
        <f t="shared" si="11"/>
        <v>Low</v>
      </c>
    </row>
    <row r="226" spans="1:14" ht="15.75" customHeight="1">
      <c r="A226" t="s">
        <v>289</v>
      </c>
      <c r="B226">
        <v>23</v>
      </c>
      <c r="C226" t="s">
        <v>24</v>
      </c>
      <c r="D226" t="s">
        <v>38</v>
      </c>
      <c r="E226" t="s">
        <v>102</v>
      </c>
      <c r="F226" t="s">
        <v>103</v>
      </c>
      <c r="G226">
        <v>5</v>
      </c>
      <c r="H226">
        <v>3</v>
      </c>
      <c r="I226" t="s">
        <v>31</v>
      </c>
      <c r="J226" t="s">
        <v>32</v>
      </c>
      <c r="K226">
        <v>6</v>
      </c>
      <c r="L226" t="str">
        <f t="shared" si="9"/>
        <v>18-25</v>
      </c>
      <c r="M226" t="str">
        <f t="shared" si="10"/>
        <v>Binge Watcher</v>
      </c>
      <c r="N226" t="str">
        <f t="shared" si="11"/>
        <v>Low</v>
      </c>
    </row>
    <row r="227" spans="1:14" ht="15.75" customHeight="1">
      <c r="A227" t="s">
        <v>290</v>
      </c>
      <c r="B227">
        <v>25</v>
      </c>
      <c r="C227" t="s">
        <v>24</v>
      </c>
      <c r="D227" t="s">
        <v>38</v>
      </c>
      <c r="E227" t="s">
        <v>98</v>
      </c>
      <c r="F227" t="s">
        <v>50</v>
      </c>
      <c r="G227">
        <v>3</v>
      </c>
      <c r="H227">
        <v>8</v>
      </c>
      <c r="I227" t="s">
        <v>16</v>
      </c>
      <c r="J227" t="s">
        <v>17</v>
      </c>
      <c r="K227">
        <v>9</v>
      </c>
      <c r="L227" t="str">
        <f t="shared" si="9"/>
        <v>18-25</v>
      </c>
      <c r="M227" t="str">
        <f t="shared" si="10"/>
        <v>Regular Viewer</v>
      </c>
      <c r="N227" t="str">
        <f t="shared" si="11"/>
        <v>Medium</v>
      </c>
    </row>
    <row r="228" spans="1:14" ht="15.75" customHeight="1">
      <c r="A228" t="s">
        <v>291</v>
      </c>
      <c r="B228">
        <v>23</v>
      </c>
      <c r="C228" t="s">
        <v>24</v>
      </c>
      <c r="D228" t="s">
        <v>28</v>
      </c>
      <c r="E228" t="s">
        <v>84</v>
      </c>
      <c r="F228" t="s">
        <v>30</v>
      </c>
      <c r="G228">
        <v>4</v>
      </c>
      <c r="H228">
        <v>8</v>
      </c>
      <c r="I228" t="s">
        <v>16</v>
      </c>
      <c r="J228" t="s">
        <v>32</v>
      </c>
      <c r="K228">
        <v>6</v>
      </c>
      <c r="L228" t="str">
        <f t="shared" si="9"/>
        <v>18-25</v>
      </c>
      <c r="M228" t="str">
        <f t="shared" si="10"/>
        <v>Regular Viewer</v>
      </c>
      <c r="N228" t="str">
        <f t="shared" si="11"/>
        <v>Medium</v>
      </c>
    </row>
    <row r="229" spans="1:14" ht="15.75" customHeight="1">
      <c r="A229" t="s">
        <v>292</v>
      </c>
      <c r="B229">
        <v>19</v>
      </c>
      <c r="C229" t="s">
        <v>12</v>
      </c>
      <c r="D229" t="s">
        <v>19</v>
      </c>
      <c r="E229" t="s">
        <v>102</v>
      </c>
      <c r="F229" t="s">
        <v>103</v>
      </c>
      <c r="G229">
        <v>5</v>
      </c>
      <c r="H229">
        <v>3</v>
      </c>
      <c r="I229" t="s">
        <v>22</v>
      </c>
      <c r="J229" t="s">
        <v>32</v>
      </c>
      <c r="K229">
        <v>2</v>
      </c>
      <c r="L229" t="str">
        <f t="shared" si="9"/>
        <v>18-25</v>
      </c>
      <c r="M229" t="str">
        <f t="shared" si="10"/>
        <v>Binge Watcher</v>
      </c>
      <c r="N229" t="str">
        <f t="shared" si="11"/>
        <v>Low</v>
      </c>
    </row>
    <row r="230" spans="1:14" ht="15.75" customHeight="1">
      <c r="A230" t="s">
        <v>293</v>
      </c>
      <c r="B230">
        <v>60</v>
      </c>
      <c r="C230" t="s">
        <v>24</v>
      </c>
      <c r="D230" t="s">
        <v>13</v>
      </c>
      <c r="E230" t="s">
        <v>63</v>
      </c>
      <c r="F230" t="s">
        <v>50</v>
      </c>
      <c r="G230">
        <v>1</v>
      </c>
      <c r="H230">
        <v>8</v>
      </c>
      <c r="I230" t="s">
        <v>31</v>
      </c>
      <c r="J230" t="s">
        <v>32</v>
      </c>
      <c r="K230">
        <v>9</v>
      </c>
      <c r="L230" t="str">
        <f t="shared" si="9"/>
        <v>46+</v>
      </c>
      <c r="M230" t="str">
        <f t="shared" si="10"/>
        <v>Casual Viewer</v>
      </c>
      <c r="N230" t="str">
        <f t="shared" si="11"/>
        <v>Medium</v>
      </c>
    </row>
    <row r="231" spans="1:14" ht="15.75" customHeight="1">
      <c r="A231" t="s">
        <v>294</v>
      </c>
      <c r="B231">
        <v>21</v>
      </c>
      <c r="C231" t="s">
        <v>24</v>
      </c>
      <c r="D231" t="s">
        <v>38</v>
      </c>
      <c r="E231" t="s">
        <v>86</v>
      </c>
      <c r="F231" t="s">
        <v>53</v>
      </c>
      <c r="G231">
        <v>4</v>
      </c>
      <c r="H231">
        <v>1</v>
      </c>
      <c r="I231" t="s">
        <v>31</v>
      </c>
      <c r="J231" t="s">
        <v>32</v>
      </c>
      <c r="K231">
        <v>10</v>
      </c>
      <c r="L231" t="str">
        <f t="shared" si="9"/>
        <v>18-25</v>
      </c>
      <c r="M231" t="str">
        <f t="shared" si="10"/>
        <v>Regular Viewer</v>
      </c>
      <c r="N231" t="str">
        <f t="shared" si="11"/>
        <v>Low</v>
      </c>
    </row>
    <row r="232" spans="1:14" ht="15.75" customHeight="1">
      <c r="A232" t="s">
        <v>295</v>
      </c>
      <c r="B232">
        <v>32</v>
      </c>
      <c r="C232" t="s">
        <v>24</v>
      </c>
      <c r="D232" t="s">
        <v>19</v>
      </c>
      <c r="E232" t="s">
        <v>65</v>
      </c>
      <c r="F232" t="s">
        <v>50</v>
      </c>
      <c r="G232">
        <v>5</v>
      </c>
      <c r="H232">
        <v>15</v>
      </c>
      <c r="I232" t="s">
        <v>31</v>
      </c>
      <c r="J232" t="s">
        <v>32</v>
      </c>
      <c r="K232">
        <v>8</v>
      </c>
      <c r="L232" t="str">
        <f t="shared" si="9"/>
        <v>26-35</v>
      </c>
      <c r="M232" t="str">
        <f t="shared" si="10"/>
        <v>Binge Watcher</v>
      </c>
      <c r="N232" t="str">
        <f t="shared" si="11"/>
        <v>High</v>
      </c>
    </row>
    <row r="233" spans="1:14" ht="15.75" customHeight="1">
      <c r="A233" t="s">
        <v>296</v>
      </c>
      <c r="B233">
        <v>19</v>
      </c>
      <c r="C233" t="s">
        <v>24</v>
      </c>
      <c r="D233" t="s">
        <v>42</v>
      </c>
      <c r="E233" t="s">
        <v>20</v>
      </c>
      <c r="F233" t="s">
        <v>21</v>
      </c>
      <c r="G233">
        <v>3</v>
      </c>
      <c r="H233">
        <v>10</v>
      </c>
      <c r="I233" t="s">
        <v>16</v>
      </c>
      <c r="J233" t="s">
        <v>17</v>
      </c>
      <c r="K233">
        <v>7</v>
      </c>
      <c r="L233" t="str">
        <f t="shared" si="9"/>
        <v>18-25</v>
      </c>
      <c r="M233" t="str">
        <f t="shared" si="10"/>
        <v>Regular Viewer</v>
      </c>
      <c r="N233" t="str">
        <f t="shared" si="11"/>
        <v>Medium</v>
      </c>
    </row>
    <row r="234" spans="1:14" ht="15.75" customHeight="1">
      <c r="A234" t="s">
        <v>297</v>
      </c>
      <c r="B234">
        <v>21</v>
      </c>
      <c r="C234" t="s">
        <v>12</v>
      </c>
      <c r="D234" t="s">
        <v>38</v>
      </c>
      <c r="E234" t="s">
        <v>52</v>
      </c>
      <c r="F234" t="s">
        <v>53</v>
      </c>
      <c r="G234">
        <v>5</v>
      </c>
      <c r="H234">
        <v>10</v>
      </c>
      <c r="I234" t="s">
        <v>31</v>
      </c>
      <c r="J234" t="s">
        <v>17</v>
      </c>
      <c r="K234">
        <v>9</v>
      </c>
      <c r="L234" t="str">
        <f t="shared" si="9"/>
        <v>18-25</v>
      </c>
      <c r="M234" t="str">
        <f t="shared" si="10"/>
        <v>Binge Watcher</v>
      </c>
      <c r="N234" t="str">
        <f t="shared" si="11"/>
        <v>Medium</v>
      </c>
    </row>
    <row r="235" spans="1:14" ht="15.75" customHeight="1">
      <c r="A235" t="s">
        <v>298</v>
      </c>
      <c r="B235">
        <v>29</v>
      </c>
      <c r="C235" t="s">
        <v>24</v>
      </c>
      <c r="D235" t="s">
        <v>19</v>
      </c>
      <c r="E235" t="s">
        <v>86</v>
      </c>
      <c r="F235" t="s">
        <v>53</v>
      </c>
      <c r="G235">
        <v>3</v>
      </c>
      <c r="H235">
        <v>13</v>
      </c>
      <c r="I235" t="s">
        <v>16</v>
      </c>
      <c r="J235" t="s">
        <v>17</v>
      </c>
      <c r="K235">
        <v>9</v>
      </c>
      <c r="L235" t="str">
        <f t="shared" si="9"/>
        <v>26-35</v>
      </c>
      <c r="M235" t="str">
        <f t="shared" si="10"/>
        <v>Regular Viewer</v>
      </c>
      <c r="N235" t="str">
        <f t="shared" si="11"/>
        <v>High</v>
      </c>
    </row>
    <row r="236" spans="1:14" ht="15.75" customHeight="1">
      <c r="A236" t="s">
        <v>299</v>
      </c>
      <c r="B236">
        <v>18</v>
      </c>
      <c r="C236" t="s">
        <v>24</v>
      </c>
      <c r="D236" t="s">
        <v>34</v>
      </c>
      <c r="E236" t="s">
        <v>70</v>
      </c>
      <c r="F236" t="s">
        <v>15</v>
      </c>
      <c r="G236">
        <v>5</v>
      </c>
      <c r="H236">
        <v>13</v>
      </c>
      <c r="I236" t="s">
        <v>22</v>
      </c>
      <c r="J236" t="s">
        <v>17</v>
      </c>
      <c r="K236">
        <v>9</v>
      </c>
      <c r="L236" t="str">
        <f t="shared" si="9"/>
        <v>18-25</v>
      </c>
      <c r="M236" t="str">
        <f t="shared" si="10"/>
        <v>Binge Watcher</v>
      </c>
      <c r="N236" t="str">
        <f t="shared" si="11"/>
        <v>High</v>
      </c>
    </row>
    <row r="237" spans="1:14" ht="15.75" customHeight="1">
      <c r="A237" t="s">
        <v>300</v>
      </c>
      <c r="B237">
        <v>18</v>
      </c>
      <c r="C237" t="s">
        <v>12</v>
      </c>
      <c r="D237" t="s">
        <v>19</v>
      </c>
      <c r="E237" t="s">
        <v>84</v>
      </c>
      <c r="F237" t="s">
        <v>30</v>
      </c>
      <c r="G237">
        <v>5</v>
      </c>
      <c r="H237">
        <v>2</v>
      </c>
      <c r="I237" t="s">
        <v>31</v>
      </c>
      <c r="J237" t="s">
        <v>32</v>
      </c>
      <c r="K237">
        <v>7</v>
      </c>
      <c r="L237" t="str">
        <f t="shared" si="9"/>
        <v>18-25</v>
      </c>
      <c r="M237" t="str">
        <f t="shared" si="10"/>
        <v>Binge Watcher</v>
      </c>
      <c r="N237" t="str">
        <f t="shared" si="11"/>
        <v>Low</v>
      </c>
    </row>
    <row r="238" spans="1:14" ht="15.75" customHeight="1">
      <c r="A238" t="s">
        <v>301</v>
      </c>
      <c r="B238">
        <v>21</v>
      </c>
      <c r="C238" t="s">
        <v>24</v>
      </c>
      <c r="D238" t="s">
        <v>34</v>
      </c>
      <c r="E238" t="s">
        <v>55</v>
      </c>
      <c r="F238" t="s">
        <v>56</v>
      </c>
      <c r="G238">
        <v>1</v>
      </c>
      <c r="H238">
        <v>12</v>
      </c>
      <c r="I238" t="s">
        <v>22</v>
      </c>
      <c r="J238" t="s">
        <v>32</v>
      </c>
      <c r="K238">
        <v>4</v>
      </c>
      <c r="L238" t="str">
        <f t="shared" si="9"/>
        <v>18-25</v>
      </c>
      <c r="M238" t="str">
        <f t="shared" si="10"/>
        <v>Casual Viewer</v>
      </c>
      <c r="N238" t="str">
        <f t="shared" si="11"/>
        <v>High</v>
      </c>
    </row>
    <row r="239" spans="1:14" ht="15.75" customHeight="1">
      <c r="A239" t="s">
        <v>302</v>
      </c>
      <c r="B239">
        <v>30</v>
      </c>
      <c r="C239" t="s">
        <v>24</v>
      </c>
      <c r="D239" t="s">
        <v>34</v>
      </c>
      <c r="E239" t="s">
        <v>139</v>
      </c>
      <c r="F239" t="s">
        <v>140</v>
      </c>
      <c r="G239">
        <v>4</v>
      </c>
      <c r="H239">
        <v>14</v>
      </c>
      <c r="I239" t="s">
        <v>16</v>
      </c>
      <c r="J239" t="s">
        <v>32</v>
      </c>
      <c r="K239">
        <v>8</v>
      </c>
      <c r="L239" t="str">
        <f t="shared" si="9"/>
        <v>26-35</v>
      </c>
      <c r="M239" t="str">
        <f t="shared" si="10"/>
        <v>Regular Viewer</v>
      </c>
      <c r="N239" t="str">
        <f t="shared" si="11"/>
        <v>High</v>
      </c>
    </row>
    <row r="240" spans="1:14" ht="15.75" customHeight="1">
      <c r="A240" t="s">
        <v>303</v>
      </c>
      <c r="B240">
        <v>24</v>
      </c>
      <c r="C240" t="s">
        <v>12</v>
      </c>
      <c r="D240" t="s">
        <v>58</v>
      </c>
      <c r="E240" t="s">
        <v>25</v>
      </c>
      <c r="F240" t="s">
        <v>26</v>
      </c>
      <c r="G240">
        <v>1</v>
      </c>
      <c r="H240">
        <v>6</v>
      </c>
      <c r="I240" t="s">
        <v>16</v>
      </c>
      <c r="J240" t="s">
        <v>32</v>
      </c>
      <c r="K240">
        <v>3</v>
      </c>
      <c r="L240" t="str">
        <f t="shared" si="9"/>
        <v>18-25</v>
      </c>
      <c r="M240" t="str">
        <f t="shared" si="10"/>
        <v>Casual Viewer</v>
      </c>
      <c r="N240" t="str">
        <f t="shared" si="11"/>
        <v>Medium</v>
      </c>
    </row>
    <row r="241" spans="1:14" ht="15.75" customHeight="1">
      <c r="A241" t="s">
        <v>304</v>
      </c>
      <c r="B241">
        <v>23</v>
      </c>
      <c r="C241" t="s">
        <v>12</v>
      </c>
      <c r="D241" t="s">
        <v>13</v>
      </c>
      <c r="E241" t="s">
        <v>25</v>
      </c>
      <c r="F241" t="s">
        <v>26</v>
      </c>
      <c r="G241">
        <v>1</v>
      </c>
      <c r="H241">
        <v>14</v>
      </c>
      <c r="I241" t="s">
        <v>22</v>
      </c>
      <c r="J241" t="s">
        <v>32</v>
      </c>
      <c r="K241">
        <v>10</v>
      </c>
      <c r="L241" t="str">
        <f t="shared" si="9"/>
        <v>18-25</v>
      </c>
      <c r="M241" t="str">
        <f t="shared" si="10"/>
        <v>Casual Viewer</v>
      </c>
      <c r="N241" t="str">
        <f t="shared" si="11"/>
        <v>High</v>
      </c>
    </row>
    <row r="242" spans="1:14" ht="15.75" customHeight="1">
      <c r="A242" t="s">
        <v>305</v>
      </c>
      <c r="B242">
        <v>20</v>
      </c>
      <c r="C242" t="s">
        <v>24</v>
      </c>
      <c r="D242" t="s">
        <v>62</v>
      </c>
      <c r="E242" t="s">
        <v>84</v>
      </c>
      <c r="F242" t="s">
        <v>30</v>
      </c>
      <c r="G242">
        <v>1</v>
      </c>
      <c r="H242">
        <v>7</v>
      </c>
      <c r="I242" t="s">
        <v>16</v>
      </c>
      <c r="J242" t="s">
        <v>32</v>
      </c>
      <c r="K242">
        <v>5</v>
      </c>
      <c r="L242" t="str">
        <f t="shared" si="9"/>
        <v>18-25</v>
      </c>
      <c r="M242" t="str">
        <f t="shared" si="10"/>
        <v>Casual Viewer</v>
      </c>
      <c r="N242" t="str">
        <f t="shared" si="11"/>
        <v>Medium</v>
      </c>
    </row>
    <row r="243" spans="1:14" ht="15.75" customHeight="1">
      <c r="A243" t="s">
        <v>306</v>
      </c>
      <c r="B243">
        <v>22</v>
      </c>
      <c r="C243" t="s">
        <v>12</v>
      </c>
      <c r="D243" t="s">
        <v>62</v>
      </c>
      <c r="E243" t="s">
        <v>20</v>
      </c>
      <c r="F243" t="s">
        <v>21</v>
      </c>
      <c r="G243">
        <v>1</v>
      </c>
      <c r="H243">
        <v>1</v>
      </c>
      <c r="I243" t="s">
        <v>31</v>
      </c>
      <c r="J243" t="s">
        <v>17</v>
      </c>
      <c r="K243">
        <v>8</v>
      </c>
      <c r="L243" t="str">
        <f t="shared" si="9"/>
        <v>18-25</v>
      </c>
      <c r="M243" t="str">
        <f t="shared" si="10"/>
        <v>Casual Viewer</v>
      </c>
      <c r="N243" t="str">
        <f t="shared" si="11"/>
        <v>Low</v>
      </c>
    </row>
    <row r="244" spans="1:14" ht="15.75" customHeight="1">
      <c r="A244" t="s">
        <v>307</v>
      </c>
      <c r="B244">
        <v>34</v>
      </c>
      <c r="C244" t="s">
        <v>12</v>
      </c>
      <c r="D244" t="s">
        <v>58</v>
      </c>
      <c r="E244" t="s">
        <v>52</v>
      </c>
      <c r="F244" t="s">
        <v>53</v>
      </c>
      <c r="G244">
        <v>5</v>
      </c>
      <c r="H244">
        <v>10</v>
      </c>
      <c r="I244" t="s">
        <v>22</v>
      </c>
      <c r="J244" t="s">
        <v>32</v>
      </c>
      <c r="K244">
        <v>9</v>
      </c>
      <c r="L244" t="str">
        <f t="shared" si="9"/>
        <v>26-35</v>
      </c>
      <c r="M244" t="str">
        <f t="shared" si="10"/>
        <v>Binge Watcher</v>
      </c>
      <c r="N244" t="str">
        <f t="shared" si="11"/>
        <v>Medium</v>
      </c>
    </row>
    <row r="245" spans="1:14" ht="15.75" customHeight="1">
      <c r="A245" t="s">
        <v>308</v>
      </c>
      <c r="B245">
        <v>18</v>
      </c>
      <c r="C245" t="s">
        <v>24</v>
      </c>
      <c r="D245" t="s">
        <v>47</v>
      </c>
      <c r="E245" t="s">
        <v>60</v>
      </c>
      <c r="F245" t="s">
        <v>53</v>
      </c>
      <c r="G245">
        <v>5</v>
      </c>
      <c r="H245">
        <v>2</v>
      </c>
      <c r="I245" t="s">
        <v>22</v>
      </c>
      <c r="J245" t="s">
        <v>32</v>
      </c>
      <c r="K245">
        <v>10</v>
      </c>
      <c r="L245" t="str">
        <f t="shared" si="9"/>
        <v>18-25</v>
      </c>
      <c r="M245" t="str">
        <f t="shared" si="10"/>
        <v>Binge Watcher</v>
      </c>
      <c r="N245" t="str">
        <f t="shared" si="11"/>
        <v>Low</v>
      </c>
    </row>
    <row r="246" spans="1:14" ht="15.75" customHeight="1">
      <c r="A246" t="s">
        <v>309</v>
      </c>
      <c r="B246">
        <v>39</v>
      </c>
      <c r="C246" t="s">
        <v>12</v>
      </c>
      <c r="D246" t="s">
        <v>19</v>
      </c>
      <c r="E246" t="s">
        <v>52</v>
      </c>
      <c r="F246" t="s">
        <v>53</v>
      </c>
      <c r="G246">
        <v>5</v>
      </c>
      <c r="H246">
        <v>10</v>
      </c>
      <c r="I246" t="s">
        <v>31</v>
      </c>
      <c r="J246" t="s">
        <v>32</v>
      </c>
      <c r="K246">
        <v>2</v>
      </c>
      <c r="L246" t="str">
        <f t="shared" si="9"/>
        <v>36-45</v>
      </c>
      <c r="M246" t="str">
        <f t="shared" si="10"/>
        <v>Binge Watcher</v>
      </c>
      <c r="N246" t="str">
        <f t="shared" si="11"/>
        <v>Medium</v>
      </c>
    </row>
    <row r="247" spans="1:14" ht="15.75" customHeight="1">
      <c r="A247" t="s">
        <v>310</v>
      </c>
      <c r="B247">
        <v>18</v>
      </c>
      <c r="C247" t="s">
        <v>12</v>
      </c>
      <c r="D247" t="s">
        <v>34</v>
      </c>
      <c r="E247" t="s">
        <v>49</v>
      </c>
      <c r="F247" t="s">
        <v>50</v>
      </c>
      <c r="G247">
        <v>3</v>
      </c>
      <c r="H247">
        <v>12</v>
      </c>
      <c r="I247" t="s">
        <v>22</v>
      </c>
      <c r="J247" t="s">
        <v>32</v>
      </c>
      <c r="K247">
        <v>9</v>
      </c>
      <c r="L247" t="str">
        <f t="shared" si="9"/>
        <v>18-25</v>
      </c>
      <c r="M247" t="str">
        <f t="shared" si="10"/>
        <v>Regular Viewer</v>
      </c>
      <c r="N247" t="str">
        <f t="shared" si="11"/>
        <v>High</v>
      </c>
    </row>
    <row r="248" spans="1:14" ht="15.75" customHeight="1">
      <c r="A248" t="s">
        <v>311</v>
      </c>
      <c r="B248">
        <v>25</v>
      </c>
      <c r="C248" t="s">
        <v>12</v>
      </c>
      <c r="D248" t="s">
        <v>28</v>
      </c>
      <c r="E248" t="s">
        <v>35</v>
      </c>
      <c r="F248" t="s">
        <v>36</v>
      </c>
      <c r="G248">
        <v>3</v>
      </c>
      <c r="H248">
        <v>3</v>
      </c>
      <c r="I248" t="s">
        <v>22</v>
      </c>
      <c r="J248" t="s">
        <v>32</v>
      </c>
      <c r="K248">
        <v>6</v>
      </c>
      <c r="L248" t="str">
        <f t="shared" si="9"/>
        <v>18-25</v>
      </c>
      <c r="M248" t="str">
        <f t="shared" si="10"/>
        <v>Regular Viewer</v>
      </c>
      <c r="N248" t="str">
        <f t="shared" si="11"/>
        <v>Low</v>
      </c>
    </row>
    <row r="249" spans="1:14" ht="15.75" customHeight="1">
      <c r="A249" t="s">
        <v>312</v>
      </c>
      <c r="B249">
        <v>40</v>
      </c>
      <c r="C249" t="s">
        <v>12</v>
      </c>
      <c r="D249" t="s">
        <v>62</v>
      </c>
      <c r="E249" t="s">
        <v>20</v>
      </c>
      <c r="F249" t="s">
        <v>21</v>
      </c>
      <c r="G249">
        <v>2</v>
      </c>
      <c r="H249">
        <v>14</v>
      </c>
      <c r="I249" t="s">
        <v>22</v>
      </c>
      <c r="J249" t="s">
        <v>32</v>
      </c>
      <c r="K249">
        <v>2</v>
      </c>
      <c r="L249" t="str">
        <f t="shared" si="9"/>
        <v>36-45</v>
      </c>
      <c r="M249" t="str">
        <f t="shared" si="10"/>
        <v>Casual Viewer</v>
      </c>
      <c r="N249" t="str">
        <f t="shared" si="11"/>
        <v>High</v>
      </c>
    </row>
    <row r="250" spans="1:14" ht="15.75" customHeight="1">
      <c r="A250" t="s">
        <v>313</v>
      </c>
      <c r="B250">
        <v>24</v>
      </c>
      <c r="C250" t="s">
        <v>24</v>
      </c>
      <c r="D250" t="s">
        <v>38</v>
      </c>
      <c r="E250" t="s">
        <v>88</v>
      </c>
      <c r="F250" t="s">
        <v>15</v>
      </c>
      <c r="G250">
        <v>2</v>
      </c>
      <c r="H250">
        <v>8</v>
      </c>
      <c r="I250" t="s">
        <v>22</v>
      </c>
      <c r="J250" t="s">
        <v>32</v>
      </c>
      <c r="K250">
        <v>9</v>
      </c>
      <c r="L250" t="str">
        <f t="shared" si="9"/>
        <v>18-25</v>
      </c>
      <c r="M250" t="str">
        <f t="shared" si="10"/>
        <v>Casual Viewer</v>
      </c>
      <c r="N250" t="str">
        <f t="shared" si="11"/>
        <v>Medium</v>
      </c>
    </row>
    <row r="251" spans="1:14" ht="15.75" customHeight="1">
      <c r="A251" t="s">
        <v>314</v>
      </c>
      <c r="B251">
        <v>38</v>
      </c>
      <c r="C251" t="s">
        <v>24</v>
      </c>
      <c r="D251" t="s">
        <v>13</v>
      </c>
      <c r="E251" t="s">
        <v>98</v>
      </c>
      <c r="F251" t="s">
        <v>50</v>
      </c>
      <c r="G251">
        <v>2</v>
      </c>
      <c r="H251">
        <v>9</v>
      </c>
      <c r="I251" t="s">
        <v>22</v>
      </c>
      <c r="J251" t="s">
        <v>17</v>
      </c>
      <c r="K251">
        <v>9</v>
      </c>
      <c r="L251" t="str">
        <f t="shared" si="9"/>
        <v>36-45</v>
      </c>
      <c r="M251" t="str">
        <f t="shared" si="10"/>
        <v>Casual Viewer</v>
      </c>
      <c r="N251" t="str">
        <f t="shared" si="11"/>
        <v>Medium</v>
      </c>
    </row>
    <row r="252" spans="1:14" ht="15.75" customHeight="1">
      <c r="A252" t="s">
        <v>315</v>
      </c>
      <c r="B252">
        <v>20</v>
      </c>
      <c r="C252" t="s">
        <v>24</v>
      </c>
      <c r="D252" t="s">
        <v>38</v>
      </c>
      <c r="E252" t="s">
        <v>60</v>
      </c>
      <c r="F252" t="s">
        <v>53</v>
      </c>
      <c r="G252">
        <v>4</v>
      </c>
      <c r="H252">
        <v>10</v>
      </c>
      <c r="I252" t="s">
        <v>22</v>
      </c>
      <c r="J252" t="s">
        <v>32</v>
      </c>
      <c r="K252">
        <v>9</v>
      </c>
      <c r="L252" t="str">
        <f t="shared" si="9"/>
        <v>18-25</v>
      </c>
      <c r="M252" t="str">
        <f t="shared" si="10"/>
        <v>Regular Viewer</v>
      </c>
      <c r="N252" t="str">
        <f t="shared" si="11"/>
        <v>Medium</v>
      </c>
    </row>
    <row r="253" spans="1:14" ht="15.75" customHeight="1">
      <c r="A253" t="s">
        <v>316</v>
      </c>
      <c r="B253">
        <v>20</v>
      </c>
      <c r="C253" t="s">
        <v>24</v>
      </c>
      <c r="D253" t="s">
        <v>58</v>
      </c>
      <c r="E253" t="s">
        <v>70</v>
      </c>
      <c r="F253" t="s">
        <v>15</v>
      </c>
      <c r="G253">
        <v>1</v>
      </c>
      <c r="H253">
        <v>3</v>
      </c>
      <c r="I253" t="s">
        <v>16</v>
      </c>
      <c r="J253" t="s">
        <v>32</v>
      </c>
      <c r="K253">
        <v>9</v>
      </c>
      <c r="L253" t="str">
        <f t="shared" si="9"/>
        <v>18-25</v>
      </c>
      <c r="M253" t="str">
        <f t="shared" si="10"/>
        <v>Casual Viewer</v>
      </c>
      <c r="N253" t="str">
        <f t="shared" si="11"/>
        <v>Low</v>
      </c>
    </row>
    <row r="254" spans="1:14" ht="15.75" customHeight="1">
      <c r="A254" t="s">
        <v>317</v>
      </c>
      <c r="B254">
        <v>22</v>
      </c>
      <c r="C254" t="s">
        <v>24</v>
      </c>
      <c r="D254" t="s">
        <v>58</v>
      </c>
      <c r="E254" t="s">
        <v>65</v>
      </c>
      <c r="F254" t="s">
        <v>50</v>
      </c>
      <c r="G254">
        <v>4</v>
      </c>
      <c r="H254">
        <v>10</v>
      </c>
      <c r="I254" t="s">
        <v>31</v>
      </c>
      <c r="J254" t="s">
        <v>32</v>
      </c>
      <c r="K254">
        <v>9</v>
      </c>
      <c r="L254" t="str">
        <f t="shared" si="9"/>
        <v>18-25</v>
      </c>
      <c r="M254" t="str">
        <f t="shared" si="10"/>
        <v>Regular Viewer</v>
      </c>
      <c r="N254" t="str">
        <f t="shared" si="11"/>
        <v>Medium</v>
      </c>
    </row>
    <row r="255" spans="1:14" ht="15.75" customHeight="1">
      <c r="A255" t="s">
        <v>318</v>
      </c>
      <c r="B255">
        <v>18</v>
      </c>
      <c r="C255" t="s">
        <v>24</v>
      </c>
      <c r="D255" t="s">
        <v>34</v>
      </c>
      <c r="E255" t="s">
        <v>49</v>
      </c>
      <c r="F255" t="s">
        <v>50</v>
      </c>
      <c r="G255">
        <v>3</v>
      </c>
      <c r="H255">
        <v>7</v>
      </c>
      <c r="I255" t="s">
        <v>31</v>
      </c>
      <c r="J255" t="s">
        <v>32</v>
      </c>
      <c r="K255">
        <v>9</v>
      </c>
      <c r="L255" t="str">
        <f t="shared" si="9"/>
        <v>18-25</v>
      </c>
      <c r="M255" t="str">
        <f t="shared" si="10"/>
        <v>Regular Viewer</v>
      </c>
      <c r="N255" t="str">
        <f t="shared" si="11"/>
        <v>Medium</v>
      </c>
    </row>
    <row r="256" spans="1:14" ht="15.75" customHeight="1">
      <c r="A256" t="s">
        <v>319</v>
      </c>
      <c r="B256">
        <v>23</v>
      </c>
      <c r="C256" t="s">
        <v>12</v>
      </c>
      <c r="D256" t="s">
        <v>47</v>
      </c>
      <c r="E256" t="s">
        <v>144</v>
      </c>
      <c r="F256" t="s">
        <v>145</v>
      </c>
      <c r="G256">
        <v>2</v>
      </c>
      <c r="H256">
        <v>12</v>
      </c>
      <c r="I256" t="s">
        <v>31</v>
      </c>
      <c r="J256" t="s">
        <v>17</v>
      </c>
      <c r="K256">
        <v>8</v>
      </c>
      <c r="L256" t="str">
        <f t="shared" si="9"/>
        <v>18-25</v>
      </c>
      <c r="M256" t="str">
        <f t="shared" si="10"/>
        <v>Casual Viewer</v>
      </c>
      <c r="N256" t="str">
        <f t="shared" si="11"/>
        <v>High</v>
      </c>
    </row>
    <row r="257" spans="1:14" ht="15.75" customHeight="1">
      <c r="A257" t="s">
        <v>320</v>
      </c>
      <c r="B257">
        <v>36</v>
      </c>
      <c r="C257" t="s">
        <v>24</v>
      </c>
      <c r="D257" t="s">
        <v>13</v>
      </c>
      <c r="E257" t="s">
        <v>88</v>
      </c>
      <c r="F257" t="s">
        <v>15</v>
      </c>
      <c r="G257">
        <v>1</v>
      </c>
      <c r="H257">
        <v>2</v>
      </c>
      <c r="I257" t="s">
        <v>31</v>
      </c>
      <c r="J257" t="s">
        <v>17</v>
      </c>
      <c r="K257">
        <v>9</v>
      </c>
      <c r="L257" t="str">
        <f t="shared" si="9"/>
        <v>36-45</v>
      </c>
      <c r="M257" t="str">
        <f t="shared" si="10"/>
        <v>Casual Viewer</v>
      </c>
      <c r="N257" t="str">
        <f t="shared" si="11"/>
        <v>Low</v>
      </c>
    </row>
    <row r="258" spans="1:14" ht="15.75" customHeight="1">
      <c r="A258" t="s">
        <v>321</v>
      </c>
      <c r="B258">
        <v>19</v>
      </c>
      <c r="C258" t="s">
        <v>24</v>
      </c>
      <c r="D258" t="s">
        <v>19</v>
      </c>
      <c r="E258" t="s">
        <v>25</v>
      </c>
      <c r="F258" t="s">
        <v>26</v>
      </c>
      <c r="G258">
        <v>1</v>
      </c>
      <c r="H258">
        <v>12</v>
      </c>
      <c r="I258" t="s">
        <v>16</v>
      </c>
      <c r="J258" t="s">
        <v>32</v>
      </c>
      <c r="K258">
        <v>7</v>
      </c>
      <c r="L258" t="str">
        <f t="shared" si="9"/>
        <v>18-25</v>
      </c>
      <c r="M258" t="str">
        <f t="shared" si="10"/>
        <v>Casual Viewer</v>
      </c>
      <c r="N258" t="str">
        <f t="shared" si="11"/>
        <v>High</v>
      </c>
    </row>
    <row r="259" spans="1:14" ht="15.75" customHeight="1">
      <c r="A259" t="s">
        <v>322</v>
      </c>
      <c r="B259">
        <v>24</v>
      </c>
      <c r="C259" t="s">
        <v>24</v>
      </c>
      <c r="D259" t="s">
        <v>38</v>
      </c>
      <c r="E259" t="s">
        <v>20</v>
      </c>
      <c r="F259" t="s">
        <v>21</v>
      </c>
      <c r="G259">
        <v>3</v>
      </c>
      <c r="H259">
        <v>5</v>
      </c>
      <c r="I259" t="s">
        <v>16</v>
      </c>
      <c r="J259" t="s">
        <v>17</v>
      </c>
      <c r="K259">
        <v>10</v>
      </c>
      <c r="L259" t="str">
        <f t="shared" ref="L259:L301" si="12">IF(B259&lt;=25,"18-25",IF(B259&lt;=35,"26-35",IF(B259&lt;=45,"36-45","46+")))</f>
        <v>18-25</v>
      </c>
      <c r="M259" t="str">
        <f t="shared" ref="M259:M301" si="13">IF(G259&lt;=2,"Casual Viewer",IF(G259&lt;=4,"Regular Viewer","Binge Watcher"))</f>
        <v>Regular Viewer</v>
      </c>
      <c r="N259" t="str">
        <f t="shared" ref="N259:N301" si="14">IF(H259&lt;=5,"Low",IF(H259&lt;=10,"Medium","High"))</f>
        <v>Low</v>
      </c>
    </row>
    <row r="260" spans="1:14" ht="15.75" customHeight="1">
      <c r="A260" t="s">
        <v>323</v>
      </c>
      <c r="B260">
        <v>26</v>
      </c>
      <c r="C260" t="s">
        <v>12</v>
      </c>
      <c r="D260" t="s">
        <v>47</v>
      </c>
      <c r="E260" t="s">
        <v>14</v>
      </c>
      <c r="F260" t="s">
        <v>15</v>
      </c>
      <c r="G260">
        <v>5</v>
      </c>
      <c r="H260">
        <v>6</v>
      </c>
      <c r="I260" t="s">
        <v>16</v>
      </c>
      <c r="J260" t="s">
        <v>32</v>
      </c>
      <c r="K260">
        <v>9</v>
      </c>
      <c r="L260" t="str">
        <f t="shared" si="12"/>
        <v>26-35</v>
      </c>
      <c r="M260" t="str">
        <f t="shared" si="13"/>
        <v>Binge Watcher</v>
      </c>
      <c r="N260" t="str">
        <f t="shared" si="14"/>
        <v>Medium</v>
      </c>
    </row>
    <row r="261" spans="1:14" ht="15.75" customHeight="1">
      <c r="A261" t="s">
        <v>324</v>
      </c>
      <c r="B261">
        <v>21</v>
      </c>
      <c r="C261" t="s">
        <v>24</v>
      </c>
      <c r="D261" t="s">
        <v>34</v>
      </c>
      <c r="E261" t="s">
        <v>125</v>
      </c>
      <c r="F261" t="s">
        <v>126</v>
      </c>
      <c r="G261">
        <v>3</v>
      </c>
      <c r="H261">
        <v>10</v>
      </c>
      <c r="I261" t="s">
        <v>16</v>
      </c>
      <c r="J261" t="s">
        <v>32</v>
      </c>
      <c r="K261">
        <v>3</v>
      </c>
      <c r="L261" t="str">
        <f t="shared" si="12"/>
        <v>18-25</v>
      </c>
      <c r="M261" t="str">
        <f t="shared" si="13"/>
        <v>Regular Viewer</v>
      </c>
      <c r="N261" t="str">
        <f t="shared" si="14"/>
        <v>Medium</v>
      </c>
    </row>
    <row r="262" spans="1:14" ht="15.75" customHeight="1">
      <c r="A262" t="s">
        <v>325</v>
      </c>
      <c r="B262">
        <v>35</v>
      </c>
      <c r="C262" t="s">
        <v>12</v>
      </c>
      <c r="D262" t="s">
        <v>19</v>
      </c>
      <c r="E262" t="s">
        <v>144</v>
      </c>
      <c r="F262" t="s">
        <v>145</v>
      </c>
      <c r="G262">
        <v>5</v>
      </c>
      <c r="H262">
        <v>15</v>
      </c>
      <c r="I262" t="s">
        <v>16</v>
      </c>
      <c r="J262" t="s">
        <v>17</v>
      </c>
      <c r="K262">
        <v>1</v>
      </c>
      <c r="L262" t="str">
        <f t="shared" si="12"/>
        <v>26-35</v>
      </c>
      <c r="M262" t="str">
        <f t="shared" si="13"/>
        <v>Binge Watcher</v>
      </c>
      <c r="N262" t="str">
        <f t="shared" si="14"/>
        <v>High</v>
      </c>
    </row>
    <row r="263" spans="1:14" ht="15.75" customHeight="1">
      <c r="A263" t="s">
        <v>326</v>
      </c>
      <c r="B263">
        <v>25</v>
      </c>
      <c r="C263" t="s">
        <v>12</v>
      </c>
      <c r="D263" t="s">
        <v>13</v>
      </c>
      <c r="E263" t="s">
        <v>55</v>
      </c>
      <c r="F263" t="s">
        <v>56</v>
      </c>
      <c r="G263">
        <v>1</v>
      </c>
      <c r="H263">
        <v>6</v>
      </c>
      <c r="I263" t="s">
        <v>22</v>
      </c>
      <c r="J263" t="s">
        <v>17</v>
      </c>
      <c r="K263">
        <v>4</v>
      </c>
      <c r="L263" t="str">
        <f t="shared" si="12"/>
        <v>18-25</v>
      </c>
      <c r="M263" t="str">
        <f t="shared" si="13"/>
        <v>Casual Viewer</v>
      </c>
      <c r="N263" t="str">
        <f t="shared" si="14"/>
        <v>Medium</v>
      </c>
    </row>
    <row r="264" spans="1:14" ht="15.75" customHeight="1">
      <c r="A264" t="s">
        <v>327</v>
      </c>
      <c r="B264">
        <v>18</v>
      </c>
      <c r="C264" t="s">
        <v>12</v>
      </c>
      <c r="D264" t="s">
        <v>40</v>
      </c>
      <c r="E264" t="s">
        <v>60</v>
      </c>
      <c r="F264" t="s">
        <v>53</v>
      </c>
      <c r="G264">
        <v>2</v>
      </c>
      <c r="H264">
        <v>12</v>
      </c>
      <c r="I264" t="s">
        <v>31</v>
      </c>
      <c r="J264" t="s">
        <v>17</v>
      </c>
      <c r="K264">
        <v>9</v>
      </c>
      <c r="L264" t="str">
        <f t="shared" si="12"/>
        <v>18-25</v>
      </c>
      <c r="M264" t="str">
        <f t="shared" si="13"/>
        <v>Casual Viewer</v>
      </c>
      <c r="N264" t="str">
        <f t="shared" si="14"/>
        <v>High</v>
      </c>
    </row>
    <row r="265" spans="1:14" ht="15.75" customHeight="1">
      <c r="A265" t="s">
        <v>328</v>
      </c>
      <c r="B265">
        <v>26</v>
      </c>
      <c r="C265" t="s">
        <v>24</v>
      </c>
      <c r="D265" t="s">
        <v>13</v>
      </c>
      <c r="E265" t="s">
        <v>43</v>
      </c>
      <c r="F265" t="s">
        <v>30</v>
      </c>
      <c r="G265">
        <v>1</v>
      </c>
      <c r="H265">
        <v>10</v>
      </c>
      <c r="I265" t="s">
        <v>31</v>
      </c>
      <c r="J265" t="s">
        <v>32</v>
      </c>
      <c r="K265">
        <v>2</v>
      </c>
      <c r="L265" t="str">
        <f t="shared" si="12"/>
        <v>26-35</v>
      </c>
      <c r="M265" t="str">
        <f t="shared" si="13"/>
        <v>Casual Viewer</v>
      </c>
      <c r="N265" t="str">
        <f t="shared" si="14"/>
        <v>Medium</v>
      </c>
    </row>
    <row r="266" spans="1:14" ht="15.75" customHeight="1">
      <c r="A266" t="s">
        <v>329</v>
      </c>
      <c r="B266">
        <v>25</v>
      </c>
      <c r="C266" t="s">
        <v>12</v>
      </c>
      <c r="D266" t="s">
        <v>38</v>
      </c>
      <c r="E266" t="s">
        <v>70</v>
      </c>
      <c r="F266" t="s">
        <v>15</v>
      </c>
      <c r="G266">
        <v>4</v>
      </c>
      <c r="H266">
        <v>9</v>
      </c>
      <c r="I266" t="s">
        <v>22</v>
      </c>
      <c r="J266" t="s">
        <v>32</v>
      </c>
      <c r="K266">
        <v>9</v>
      </c>
      <c r="L266" t="str">
        <f t="shared" si="12"/>
        <v>18-25</v>
      </c>
      <c r="M266" t="str">
        <f t="shared" si="13"/>
        <v>Regular Viewer</v>
      </c>
      <c r="N266" t="str">
        <f t="shared" si="14"/>
        <v>Medium</v>
      </c>
    </row>
    <row r="267" spans="1:14" ht="15.75" customHeight="1">
      <c r="A267" t="s">
        <v>330</v>
      </c>
      <c r="B267">
        <v>23</v>
      </c>
      <c r="C267" t="s">
        <v>24</v>
      </c>
      <c r="D267" t="s">
        <v>58</v>
      </c>
      <c r="E267" t="s">
        <v>43</v>
      </c>
      <c r="F267" t="s">
        <v>30</v>
      </c>
      <c r="G267">
        <v>5</v>
      </c>
      <c r="H267">
        <v>1</v>
      </c>
      <c r="I267" t="s">
        <v>31</v>
      </c>
      <c r="J267" t="s">
        <v>32</v>
      </c>
      <c r="K267">
        <v>10</v>
      </c>
      <c r="L267" t="str">
        <f t="shared" si="12"/>
        <v>18-25</v>
      </c>
      <c r="M267" t="str">
        <f t="shared" si="13"/>
        <v>Binge Watcher</v>
      </c>
      <c r="N267" t="str">
        <f t="shared" si="14"/>
        <v>Low</v>
      </c>
    </row>
    <row r="268" spans="1:14" ht="15.75" customHeight="1">
      <c r="A268" t="s">
        <v>331</v>
      </c>
      <c r="B268">
        <v>27</v>
      </c>
      <c r="C268" t="s">
        <v>12</v>
      </c>
      <c r="D268" t="s">
        <v>28</v>
      </c>
      <c r="E268" t="s">
        <v>67</v>
      </c>
      <c r="F268" t="s">
        <v>30</v>
      </c>
      <c r="G268">
        <v>2</v>
      </c>
      <c r="H268">
        <v>7</v>
      </c>
      <c r="I268" t="s">
        <v>16</v>
      </c>
      <c r="J268" t="s">
        <v>17</v>
      </c>
      <c r="K268">
        <v>6</v>
      </c>
      <c r="L268" t="str">
        <f t="shared" si="12"/>
        <v>26-35</v>
      </c>
      <c r="M268" t="str">
        <f t="shared" si="13"/>
        <v>Casual Viewer</v>
      </c>
      <c r="N268" t="str">
        <f t="shared" si="14"/>
        <v>Medium</v>
      </c>
    </row>
    <row r="269" spans="1:14" ht="15.75" customHeight="1">
      <c r="A269" t="s">
        <v>332</v>
      </c>
      <c r="B269">
        <v>19</v>
      </c>
      <c r="C269" t="s">
        <v>12</v>
      </c>
      <c r="D269" t="s">
        <v>58</v>
      </c>
      <c r="E269" t="s">
        <v>45</v>
      </c>
      <c r="F269" t="s">
        <v>30</v>
      </c>
      <c r="G269">
        <v>4</v>
      </c>
      <c r="H269">
        <v>3</v>
      </c>
      <c r="I269" t="s">
        <v>16</v>
      </c>
      <c r="J269" t="s">
        <v>17</v>
      </c>
      <c r="K269">
        <v>10</v>
      </c>
      <c r="L269" t="str">
        <f t="shared" si="12"/>
        <v>18-25</v>
      </c>
      <c r="M269" t="str">
        <f t="shared" si="13"/>
        <v>Regular Viewer</v>
      </c>
      <c r="N269" t="str">
        <f t="shared" si="14"/>
        <v>Low</v>
      </c>
    </row>
    <row r="270" spans="1:14" ht="15.75" customHeight="1">
      <c r="A270" t="s">
        <v>333</v>
      </c>
      <c r="B270">
        <v>19</v>
      </c>
      <c r="C270" t="s">
        <v>12</v>
      </c>
      <c r="D270" t="s">
        <v>42</v>
      </c>
      <c r="E270" t="s">
        <v>14</v>
      </c>
      <c r="F270" t="s">
        <v>15</v>
      </c>
      <c r="G270">
        <v>2</v>
      </c>
      <c r="H270">
        <v>14</v>
      </c>
      <c r="I270" t="s">
        <v>22</v>
      </c>
      <c r="J270" t="s">
        <v>17</v>
      </c>
      <c r="K270">
        <v>1</v>
      </c>
      <c r="L270" t="str">
        <f t="shared" si="12"/>
        <v>18-25</v>
      </c>
      <c r="M270" t="str">
        <f t="shared" si="13"/>
        <v>Casual Viewer</v>
      </c>
      <c r="N270" t="str">
        <f t="shared" si="14"/>
        <v>High</v>
      </c>
    </row>
    <row r="271" spans="1:14" ht="15.75" customHeight="1">
      <c r="A271" t="s">
        <v>334</v>
      </c>
      <c r="B271">
        <v>23</v>
      </c>
      <c r="C271" t="s">
        <v>24</v>
      </c>
      <c r="D271" t="s">
        <v>58</v>
      </c>
      <c r="E271" t="s">
        <v>49</v>
      </c>
      <c r="F271" t="s">
        <v>50</v>
      </c>
      <c r="G271">
        <v>1</v>
      </c>
      <c r="H271">
        <v>1</v>
      </c>
      <c r="I271" t="s">
        <v>16</v>
      </c>
      <c r="J271" t="s">
        <v>32</v>
      </c>
      <c r="K271">
        <v>10</v>
      </c>
      <c r="L271" t="str">
        <f t="shared" si="12"/>
        <v>18-25</v>
      </c>
      <c r="M271" t="str">
        <f t="shared" si="13"/>
        <v>Casual Viewer</v>
      </c>
      <c r="N271" t="str">
        <f t="shared" si="14"/>
        <v>Low</v>
      </c>
    </row>
    <row r="272" spans="1:14" ht="15.75" customHeight="1">
      <c r="A272" t="s">
        <v>335</v>
      </c>
      <c r="B272">
        <v>20</v>
      </c>
      <c r="C272" t="s">
        <v>12</v>
      </c>
      <c r="D272" t="s">
        <v>47</v>
      </c>
      <c r="E272" t="s">
        <v>84</v>
      </c>
      <c r="F272" t="s">
        <v>30</v>
      </c>
      <c r="G272">
        <v>4</v>
      </c>
      <c r="H272">
        <v>11</v>
      </c>
      <c r="I272" t="s">
        <v>31</v>
      </c>
      <c r="J272" t="s">
        <v>32</v>
      </c>
      <c r="K272">
        <v>2</v>
      </c>
      <c r="L272" t="str">
        <f t="shared" si="12"/>
        <v>18-25</v>
      </c>
      <c r="M272" t="str">
        <f t="shared" si="13"/>
        <v>Regular Viewer</v>
      </c>
      <c r="N272" t="str">
        <f t="shared" si="14"/>
        <v>High</v>
      </c>
    </row>
    <row r="273" spans="1:14" ht="15.75" customHeight="1">
      <c r="A273" t="s">
        <v>336</v>
      </c>
      <c r="B273">
        <v>22</v>
      </c>
      <c r="C273" t="s">
        <v>24</v>
      </c>
      <c r="D273" t="s">
        <v>40</v>
      </c>
      <c r="E273" t="s">
        <v>67</v>
      </c>
      <c r="F273" t="s">
        <v>30</v>
      </c>
      <c r="G273">
        <v>3</v>
      </c>
      <c r="H273">
        <v>8</v>
      </c>
      <c r="I273" t="s">
        <v>22</v>
      </c>
      <c r="J273" t="s">
        <v>32</v>
      </c>
      <c r="K273">
        <v>7</v>
      </c>
      <c r="L273" t="str">
        <f t="shared" si="12"/>
        <v>18-25</v>
      </c>
      <c r="M273" t="str">
        <f t="shared" si="13"/>
        <v>Regular Viewer</v>
      </c>
      <c r="N273" t="str">
        <f t="shared" si="14"/>
        <v>Medium</v>
      </c>
    </row>
    <row r="274" spans="1:14" ht="15.75" customHeight="1">
      <c r="A274" t="s">
        <v>337</v>
      </c>
      <c r="B274">
        <v>25</v>
      </c>
      <c r="C274" t="s">
        <v>24</v>
      </c>
      <c r="D274" t="s">
        <v>47</v>
      </c>
      <c r="E274" t="s">
        <v>29</v>
      </c>
      <c r="F274" t="s">
        <v>30</v>
      </c>
      <c r="G274">
        <v>2</v>
      </c>
      <c r="H274">
        <v>12</v>
      </c>
      <c r="I274" t="s">
        <v>22</v>
      </c>
      <c r="J274" t="s">
        <v>32</v>
      </c>
      <c r="K274">
        <v>9</v>
      </c>
      <c r="L274" t="str">
        <f t="shared" si="12"/>
        <v>18-25</v>
      </c>
      <c r="M274" t="str">
        <f t="shared" si="13"/>
        <v>Casual Viewer</v>
      </c>
      <c r="N274" t="str">
        <f t="shared" si="14"/>
        <v>High</v>
      </c>
    </row>
    <row r="275" spans="1:14" ht="15.75" customHeight="1">
      <c r="A275" t="s">
        <v>338</v>
      </c>
      <c r="B275">
        <v>24</v>
      </c>
      <c r="C275" t="s">
        <v>24</v>
      </c>
      <c r="D275" t="s">
        <v>34</v>
      </c>
      <c r="E275" t="s">
        <v>98</v>
      </c>
      <c r="F275" t="s">
        <v>50</v>
      </c>
      <c r="G275">
        <v>1</v>
      </c>
      <c r="H275">
        <v>5</v>
      </c>
      <c r="I275" t="s">
        <v>22</v>
      </c>
      <c r="J275" t="s">
        <v>32</v>
      </c>
      <c r="K275">
        <v>10</v>
      </c>
      <c r="L275" t="str">
        <f t="shared" si="12"/>
        <v>18-25</v>
      </c>
      <c r="M275" t="str">
        <f t="shared" si="13"/>
        <v>Casual Viewer</v>
      </c>
      <c r="N275" t="str">
        <f t="shared" si="14"/>
        <v>Low</v>
      </c>
    </row>
    <row r="276" spans="1:14" ht="15.75" customHeight="1">
      <c r="A276" t="s">
        <v>339</v>
      </c>
      <c r="B276">
        <v>35</v>
      </c>
      <c r="C276" t="s">
        <v>12</v>
      </c>
      <c r="D276" t="s">
        <v>40</v>
      </c>
      <c r="E276" t="s">
        <v>14</v>
      </c>
      <c r="F276" t="s">
        <v>15</v>
      </c>
      <c r="G276">
        <v>4</v>
      </c>
      <c r="H276">
        <v>1</v>
      </c>
      <c r="I276" t="s">
        <v>22</v>
      </c>
      <c r="J276" t="s">
        <v>17</v>
      </c>
      <c r="K276">
        <v>9</v>
      </c>
      <c r="L276" t="str">
        <f t="shared" si="12"/>
        <v>26-35</v>
      </c>
      <c r="M276" t="str">
        <f t="shared" si="13"/>
        <v>Regular Viewer</v>
      </c>
      <c r="N276" t="str">
        <f t="shared" si="14"/>
        <v>Low</v>
      </c>
    </row>
    <row r="277" spans="1:14" ht="15.75" customHeight="1">
      <c r="A277" t="s">
        <v>340</v>
      </c>
      <c r="B277">
        <v>30</v>
      </c>
      <c r="C277" t="s">
        <v>24</v>
      </c>
      <c r="D277" t="s">
        <v>62</v>
      </c>
      <c r="E277" t="s">
        <v>70</v>
      </c>
      <c r="F277" t="s">
        <v>15</v>
      </c>
      <c r="G277">
        <v>4</v>
      </c>
      <c r="H277">
        <v>3</v>
      </c>
      <c r="I277" t="s">
        <v>16</v>
      </c>
      <c r="J277" t="s">
        <v>32</v>
      </c>
      <c r="K277">
        <v>9</v>
      </c>
      <c r="L277" t="str">
        <f t="shared" si="12"/>
        <v>26-35</v>
      </c>
      <c r="M277" t="str">
        <f t="shared" si="13"/>
        <v>Regular Viewer</v>
      </c>
      <c r="N277" t="str">
        <f t="shared" si="14"/>
        <v>Low</v>
      </c>
    </row>
    <row r="278" spans="1:14" ht="15.75" customHeight="1">
      <c r="A278" t="s">
        <v>341</v>
      </c>
      <c r="B278">
        <v>22</v>
      </c>
      <c r="C278" t="s">
        <v>12</v>
      </c>
      <c r="D278" t="s">
        <v>19</v>
      </c>
      <c r="E278" t="s">
        <v>35</v>
      </c>
      <c r="F278" t="s">
        <v>36</v>
      </c>
      <c r="G278">
        <v>3</v>
      </c>
      <c r="H278">
        <v>10</v>
      </c>
      <c r="I278" t="s">
        <v>16</v>
      </c>
      <c r="J278" t="s">
        <v>17</v>
      </c>
      <c r="K278">
        <v>9</v>
      </c>
      <c r="L278" t="str">
        <f t="shared" si="12"/>
        <v>18-25</v>
      </c>
      <c r="M278" t="str">
        <f t="shared" si="13"/>
        <v>Regular Viewer</v>
      </c>
      <c r="N278" t="str">
        <f t="shared" si="14"/>
        <v>Medium</v>
      </c>
    </row>
    <row r="279" spans="1:14" ht="15.75" customHeight="1">
      <c r="A279" t="s">
        <v>342</v>
      </c>
      <c r="B279">
        <v>19</v>
      </c>
      <c r="C279" t="s">
        <v>12</v>
      </c>
      <c r="D279" t="s">
        <v>34</v>
      </c>
      <c r="E279" t="s">
        <v>14</v>
      </c>
      <c r="F279" t="s">
        <v>15</v>
      </c>
      <c r="G279">
        <v>2</v>
      </c>
      <c r="H279">
        <v>11</v>
      </c>
      <c r="I279" t="s">
        <v>16</v>
      </c>
      <c r="J279" t="s">
        <v>32</v>
      </c>
      <c r="K279">
        <v>9</v>
      </c>
      <c r="L279" t="str">
        <f t="shared" si="12"/>
        <v>18-25</v>
      </c>
      <c r="M279" t="str">
        <f t="shared" si="13"/>
        <v>Casual Viewer</v>
      </c>
      <c r="N279" t="str">
        <f t="shared" si="14"/>
        <v>High</v>
      </c>
    </row>
    <row r="280" spans="1:14" ht="15.75" customHeight="1">
      <c r="A280" t="s">
        <v>343</v>
      </c>
      <c r="B280">
        <v>24</v>
      </c>
      <c r="C280" t="s">
        <v>24</v>
      </c>
      <c r="D280" t="s">
        <v>19</v>
      </c>
      <c r="E280" t="s">
        <v>25</v>
      </c>
      <c r="F280" t="s">
        <v>26</v>
      </c>
      <c r="G280">
        <v>5</v>
      </c>
      <c r="H280">
        <v>11</v>
      </c>
      <c r="I280" t="s">
        <v>22</v>
      </c>
      <c r="J280" t="s">
        <v>17</v>
      </c>
      <c r="K280">
        <v>7</v>
      </c>
      <c r="L280" t="str">
        <f t="shared" si="12"/>
        <v>18-25</v>
      </c>
      <c r="M280" t="str">
        <f t="shared" si="13"/>
        <v>Binge Watcher</v>
      </c>
      <c r="N280" t="str">
        <f t="shared" si="14"/>
        <v>High</v>
      </c>
    </row>
    <row r="281" spans="1:14" ht="15.75" customHeight="1">
      <c r="A281" t="s">
        <v>344</v>
      </c>
      <c r="B281">
        <v>36</v>
      </c>
      <c r="C281" t="s">
        <v>12</v>
      </c>
      <c r="D281" t="s">
        <v>40</v>
      </c>
      <c r="E281" t="s">
        <v>95</v>
      </c>
      <c r="F281" t="s">
        <v>50</v>
      </c>
      <c r="G281">
        <v>5</v>
      </c>
      <c r="H281">
        <v>3</v>
      </c>
      <c r="I281" t="s">
        <v>31</v>
      </c>
      <c r="J281" t="s">
        <v>17</v>
      </c>
      <c r="K281">
        <v>10</v>
      </c>
      <c r="L281" t="str">
        <f t="shared" si="12"/>
        <v>36-45</v>
      </c>
      <c r="M281" t="str">
        <f t="shared" si="13"/>
        <v>Binge Watcher</v>
      </c>
      <c r="N281" t="str">
        <f t="shared" si="14"/>
        <v>Low</v>
      </c>
    </row>
    <row r="282" spans="1:14" ht="15.75" customHeight="1">
      <c r="A282" t="s">
        <v>345</v>
      </c>
      <c r="B282">
        <v>25</v>
      </c>
      <c r="C282" t="s">
        <v>24</v>
      </c>
      <c r="D282" t="s">
        <v>38</v>
      </c>
      <c r="E282" t="s">
        <v>49</v>
      </c>
      <c r="F282" t="s">
        <v>50</v>
      </c>
      <c r="G282">
        <v>2</v>
      </c>
      <c r="H282">
        <v>3</v>
      </c>
      <c r="I282" t="s">
        <v>22</v>
      </c>
      <c r="J282" t="s">
        <v>17</v>
      </c>
      <c r="K282">
        <v>10</v>
      </c>
      <c r="L282" t="str">
        <f t="shared" si="12"/>
        <v>18-25</v>
      </c>
      <c r="M282" t="str">
        <f t="shared" si="13"/>
        <v>Casual Viewer</v>
      </c>
      <c r="N282" t="str">
        <f t="shared" si="14"/>
        <v>Low</v>
      </c>
    </row>
    <row r="283" spans="1:14" ht="15.75" customHeight="1">
      <c r="A283" t="s">
        <v>346</v>
      </c>
      <c r="B283">
        <v>20</v>
      </c>
      <c r="C283" t="s">
        <v>12</v>
      </c>
      <c r="D283" t="s">
        <v>34</v>
      </c>
      <c r="E283" t="s">
        <v>86</v>
      </c>
      <c r="F283" t="s">
        <v>53</v>
      </c>
      <c r="G283">
        <v>1</v>
      </c>
      <c r="H283">
        <v>14</v>
      </c>
      <c r="I283" t="s">
        <v>31</v>
      </c>
      <c r="J283" t="s">
        <v>17</v>
      </c>
      <c r="K283">
        <v>9</v>
      </c>
      <c r="L283" t="str">
        <f t="shared" si="12"/>
        <v>18-25</v>
      </c>
      <c r="M283" t="str">
        <f t="shared" si="13"/>
        <v>Casual Viewer</v>
      </c>
      <c r="N283" t="str">
        <f t="shared" si="14"/>
        <v>High</v>
      </c>
    </row>
    <row r="284" spans="1:14" ht="15.75" customHeight="1">
      <c r="A284" t="s">
        <v>347</v>
      </c>
      <c r="B284">
        <v>20</v>
      </c>
      <c r="C284" t="s">
        <v>12</v>
      </c>
      <c r="D284" t="s">
        <v>58</v>
      </c>
      <c r="E284" t="s">
        <v>70</v>
      </c>
      <c r="F284" t="s">
        <v>15</v>
      </c>
      <c r="G284">
        <v>4</v>
      </c>
      <c r="H284">
        <v>4</v>
      </c>
      <c r="I284" t="s">
        <v>31</v>
      </c>
      <c r="J284" t="s">
        <v>17</v>
      </c>
      <c r="K284">
        <v>8</v>
      </c>
      <c r="L284" t="str">
        <f t="shared" si="12"/>
        <v>18-25</v>
      </c>
      <c r="M284" t="str">
        <f t="shared" si="13"/>
        <v>Regular Viewer</v>
      </c>
      <c r="N284" t="str">
        <f t="shared" si="14"/>
        <v>Low</v>
      </c>
    </row>
    <row r="285" spans="1:14" ht="15.75" customHeight="1">
      <c r="A285" t="s">
        <v>348</v>
      </c>
      <c r="B285">
        <v>50</v>
      </c>
      <c r="C285" t="s">
        <v>24</v>
      </c>
      <c r="D285" t="s">
        <v>13</v>
      </c>
      <c r="E285" t="s">
        <v>84</v>
      </c>
      <c r="F285" t="s">
        <v>30</v>
      </c>
      <c r="G285">
        <v>2</v>
      </c>
      <c r="H285">
        <v>4</v>
      </c>
      <c r="I285" t="s">
        <v>16</v>
      </c>
      <c r="J285" t="s">
        <v>32</v>
      </c>
      <c r="K285">
        <v>9</v>
      </c>
      <c r="L285" t="str">
        <f t="shared" si="12"/>
        <v>46+</v>
      </c>
      <c r="M285" t="str">
        <f t="shared" si="13"/>
        <v>Casual Viewer</v>
      </c>
      <c r="N285" t="str">
        <f t="shared" si="14"/>
        <v>Low</v>
      </c>
    </row>
    <row r="286" spans="1:14" ht="15.75" customHeight="1">
      <c r="A286" t="s">
        <v>349</v>
      </c>
      <c r="B286">
        <v>39</v>
      </c>
      <c r="C286" t="s">
        <v>12</v>
      </c>
      <c r="D286" t="s">
        <v>38</v>
      </c>
      <c r="E286" t="s">
        <v>49</v>
      </c>
      <c r="F286" t="s">
        <v>50</v>
      </c>
      <c r="G286">
        <v>5</v>
      </c>
      <c r="H286">
        <v>4</v>
      </c>
      <c r="I286" t="s">
        <v>16</v>
      </c>
      <c r="J286" t="s">
        <v>17</v>
      </c>
      <c r="K286">
        <v>10</v>
      </c>
      <c r="L286" t="str">
        <f t="shared" si="12"/>
        <v>36-45</v>
      </c>
      <c r="M286" t="str">
        <f t="shared" si="13"/>
        <v>Binge Watcher</v>
      </c>
      <c r="N286" t="str">
        <f t="shared" si="14"/>
        <v>Low</v>
      </c>
    </row>
    <row r="287" spans="1:14" ht="15.75" customHeight="1">
      <c r="A287" t="s">
        <v>350</v>
      </c>
      <c r="B287">
        <v>21</v>
      </c>
      <c r="C287" t="s">
        <v>24</v>
      </c>
      <c r="D287" t="s">
        <v>40</v>
      </c>
      <c r="E287" t="s">
        <v>14</v>
      </c>
      <c r="F287" t="s">
        <v>15</v>
      </c>
      <c r="G287">
        <v>1</v>
      </c>
      <c r="H287">
        <v>10</v>
      </c>
      <c r="I287" t="s">
        <v>22</v>
      </c>
      <c r="J287" t="s">
        <v>32</v>
      </c>
      <c r="K287">
        <v>9</v>
      </c>
      <c r="L287" t="str">
        <f t="shared" si="12"/>
        <v>18-25</v>
      </c>
      <c r="M287" t="str">
        <f t="shared" si="13"/>
        <v>Casual Viewer</v>
      </c>
      <c r="N287" t="str">
        <f t="shared" si="14"/>
        <v>Medium</v>
      </c>
    </row>
    <row r="288" spans="1:14" ht="15.75" customHeight="1">
      <c r="A288" t="s">
        <v>351</v>
      </c>
      <c r="B288">
        <v>52</v>
      </c>
      <c r="C288" t="s">
        <v>24</v>
      </c>
      <c r="D288" t="s">
        <v>34</v>
      </c>
      <c r="E288" t="s">
        <v>98</v>
      </c>
      <c r="F288" t="s">
        <v>50</v>
      </c>
      <c r="G288">
        <v>5</v>
      </c>
      <c r="H288">
        <v>6</v>
      </c>
      <c r="I288" t="s">
        <v>16</v>
      </c>
      <c r="J288" t="s">
        <v>32</v>
      </c>
      <c r="K288">
        <v>10</v>
      </c>
      <c r="L288" t="str">
        <f t="shared" si="12"/>
        <v>46+</v>
      </c>
      <c r="M288" t="str">
        <f t="shared" si="13"/>
        <v>Binge Watcher</v>
      </c>
      <c r="N288" t="str">
        <f t="shared" si="14"/>
        <v>Medium</v>
      </c>
    </row>
    <row r="289" spans="1:14" ht="15.75" customHeight="1">
      <c r="A289" t="s">
        <v>352</v>
      </c>
      <c r="B289">
        <v>39</v>
      </c>
      <c r="C289" t="s">
        <v>12</v>
      </c>
      <c r="D289" t="s">
        <v>13</v>
      </c>
      <c r="E289" t="s">
        <v>35</v>
      </c>
      <c r="F289" t="s">
        <v>36</v>
      </c>
      <c r="G289">
        <v>2</v>
      </c>
      <c r="H289">
        <v>3</v>
      </c>
      <c r="I289" t="s">
        <v>22</v>
      </c>
      <c r="J289" t="s">
        <v>32</v>
      </c>
      <c r="K289">
        <v>7</v>
      </c>
      <c r="L289" t="str">
        <f t="shared" si="12"/>
        <v>36-45</v>
      </c>
      <c r="M289" t="str">
        <f t="shared" si="13"/>
        <v>Casual Viewer</v>
      </c>
      <c r="N289" t="str">
        <f t="shared" si="14"/>
        <v>Low</v>
      </c>
    </row>
    <row r="290" spans="1:14" ht="15.75" customHeight="1">
      <c r="A290" t="s">
        <v>353</v>
      </c>
      <c r="B290">
        <v>37</v>
      </c>
      <c r="C290" t="s">
        <v>12</v>
      </c>
      <c r="D290" t="s">
        <v>42</v>
      </c>
      <c r="E290" t="s">
        <v>95</v>
      </c>
      <c r="F290" t="s">
        <v>50</v>
      </c>
      <c r="G290">
        <v>3</v>
      </c>
      <c r="H290">
        <v>10</v>
      </c>
      <c r="I290" t="s">
        <v>16</v>
      </c>
      <c r="J290" t="s">
        <v>32</v>
      </c>
      <c r="K290">
        <v>9</v>
      </c>
      <c r="L290" t="str">
        <f t="shared" si="12"/>
        <v>36-45</v>
      </c>
      <c r="M290" t="str">
        <f t="shared" si="13"/>
        <v>Regular Viewer</v>
      </c>
      <c r="N290" t="str">
        <f t="shared" si="14"/>
        <v>Medium</v>
      </c>
    </row>
    <row r="291" spans="1:14" ht="15.75" customHeight="1">
      <c r="A291" t="s">
        <v>354</v>
      </c>
      <c r="B291">
        <v>29</v>
      </c>
      <c r="C291" t="s">
        <v>12</v>
      </c>
      <c r="D291" t="s">
        <v>42</v>
      </c>
      <c r="E291" t="s">
        <v>52</v>
      </c>
      <c r="F291" t="s">
        <v>53</v>
      </c>
      <c r="G291">
        <v>2</v>
      </c>
      <c r="H291">
        <v>2</v>
      </c>
      <c r="I291" t="s">
        <v>31</v>
      </c>
      <c r="J291" t="s">
        <v>17</v>
      </c>
      <c r="K291">
        <v>10</v>
      </c>
      <c r="L291" t="str">
        <f t="shared" si="12"/>
        <v>26-35</v>
      </c>
      <c r="M291" t="str">
        <f t="shared" si="13"/>
        <v>Casual Viewer</v>
      </c>
      <c r="N291" t="str">
        <f t="shared" si="14"/>
        <v>Low</v>
      </c>
    </row>
    <row r="292" spans="1:14" ht="15.75" customHeight="1">
      <c r="A292" t="s">
        <v>355</v>
      </c>
      <c r="B292">
        <v>25</v>
      </c>
      <c r="C292" t="s">
        <v>24</v>
      </c>
      <c r="D292" t="s">
        <v>38</v>
      </c>
      <c r="E292" t="s">
        <v>86</v>
      </c>
      <c r="F292" t="s">
        <v>53</v>
      </c>
      <c r="G292">
        <v>1</v>
      </c>
      <c r="H292">
        <v>11</v>
      </c>
      <c r="I292" t="s">
        <v>16</v>
      </c>
      <c r="J292" t="s">
        <v>17</v>
      </c>
      <c r="K292">
        <v>9</v>
      </c>
      <c r="L292" t="str">
        <f t="shared" si="12"/>
        <v>18-25</v>
      </c>
      <c r="M292" t="str">
        <f t="shared" si="13"/>
        <v>Casual Viewer</v>
      </c>
      <c r="N292" t="str">
        <f t="shared" si="14"/>
        <v>High</v>
      </c>
    </row>
    <row r="293" spans="1:14" ht="15.75" customHeight="1">
      <c r="A293" t="s">
        <v>356</v>
      </c>
      <c r="B293">
        <v>18</v>
      </c>
      <c r="C293" t="s">
        <v>24</v>
      </c>
      <c r="D293" t="s">
        <v>38</v>
      </c>
      <c r="E293" t="s">
        <v>14</v>
      </c>
      <c r="F293" t="s">
        <v>15</v>
      </c>
      <c r="G293">
        <v>2</v>
      </c>
      <c r="H293">
        <v>14</v>
      </c>
      <c r="I293" t="s">
        <v>22</v>
      </c>
      <c r="J293" t="s">
        <v>32</v>
      </c>
      <c r="K293">
        <v>7</v>
      </c>
      <c r="L293" t="str">
        <f t="shared" si="12"/>
        <v>18-25</v>
      </c>
      <c r="M293" t="str">
        <f t="shared" si="13"/>
        <v>Casual Viewer</v>
      </c>
      <c r="N293" t="str">
        <f t="shared" si="14"/>
        <v>High</v>
      </c>
    </row>
    <row r="294" spans="1:14" ht="15.75" customHeight="1">
      <c r="A294" t="s">
        <v>357</v>
      </c>
      <c r="B294">
        <v>25</v>
      </c>
      <c r="C294" t="s">
        <v>12</v>
      </c>
      <c r="D294" t="s">
        <v>19</v>
      </c>
      <c r="E294" t="s">
        <v>25</v>
      </c>
      <c r="F294" t="s">
        <v>26</v>
      </c>
      <c r="G294">
        <v>4</v>
      </c>
      <c r="H294">
        <v>3</v>
      </c>
      <c r="I294" t="s">
        <v>22</v>
      </c>
      <c r="J294" t="s">
        <v>17</v>
      </c>
      <c r="K294">
        <v>7</v>
      </c>
      <c r="L294" t="str">
        <f t="shared" si="12"/>
        <v>18-25</v>
      </c>
      <c r="M294" t="str">
        <f t="shared" si="13"/>
        <v>Regular Viewer</v>
      </c>
      <c r="N294" t="str">
        <f t="shared" si="14"/>
        <v>Low</v>
      </c>
    </row>
    <row r="295" spans="1:14" ht="15.75" customHeight="1">
      <c r="A295" t="s">
        <v>358</v>
      </c>
      <c r="B295">
        <v>25</v>
      </c>
      <c r="C295" t="s">
        <v>12</v>
      </c>
      <c r="D295" t="s">
        <v>62</v>
      </c>
      <c r="E295" t="s">
        <v>43</v>
      </c>
      <c r="F295" t="s">
        <v>30</v>
      </c>
      <c r="G295">
        <v>5</v>
      </c>
      <c r="H295">
        <v>10</v>
      </c>
      <c r="I295" t="s">
        <v>22</v>
      </c>
      <c r="J295" t="s">
        <v>17</v>
      </c>
      <c r="K295">
        <v>8</v>
      </c>
      <c r="L295" t="str">
        <f t="shared" si="12"/>
        <v>18-25</v>
      </c>
      <c r="M295" t="str">
        <f t="shared" si="13"/>
        <v>Binge Watcher</v>
      </c>
      <c r="N295" t="str">
        <f t="shared" si="14"/>
        <v>Medium</v>
      </c>
    </row>
    <row r="296" spans="1:14" ht="15.75" customHeight="1">
      <c r="A296" t="s">
        <v>359</v>
      </c>
      <c r="B296">
        <v>37</v>
      </c>
      <c r="C296" t="s">
        <v>24</v>
      </c>
      <c r="D296" t="s">
        <v>62</v>
      </c>
      <c r="E296" t="s">
        <v>144</v>
      </c>
      <c r="F296" t="s">
        <v>145</v>
      </c>
      <c r="G296">
        <v>3</v>
      </c>
      <c r="H296">
        <v>1</v>
      </c>
      <c r="I296" t="s">
        <v>31</v>
      </c>
      <c r="J296" t="s">
        <v>17</v>
      </c>
      <c r="K296">
        <v>9</v>
      </c>
      <c r="L296" t="str">
        <f t="shared" si="12"/>
        <v>36-45</v>
      </c>
      <c r="M296" t="str">
        <f t="shared" si="13"/>
        <v>Regular Viewer</v>
      </c>
      <c r="N296" t="str">
        <f t="shared" si="14"/>
        <v>Low</v>
      </c>
    </row>
    <row r="297" spans="1:14" ht="15.75" customHeight="1">
      <c r="A297" t="s">
        <v>360</v>
      </c>
      <c r="B297">
        <v>22</v>
      </c>
      <c r="C297" t="s">
        <v>24</v>
      </c>
      <c r="D297" t="s">
        <v>38</v>
      </c>
      <c r="E297" t="s">
        <v>63</v>
      </c>
      <c r="F297" t="s">
        <v>50</v>
      </c>
      <c r="G297">
        <v>3</v>
      </c>
      <c r="H297">
        <v>2</v>
      </c>
      <c r="I297" t="s">
        <v>22</v>
      </c>
      <c r="J297" t="s">
        <v>32</v>
      </c>
      <c r="K297">
        <v>9</v>
      </c>
      <c r="L297" t="str">
        <f t="shared" si="12"/>
        <v>18-25</v>
      </c>
      <c r="M297" t="str">
        <f t="shared" si="13"/>
        <v>Regular Viewer</v>
      </c>
      <c r="N297" t="str">
        <f t="shared" si="14"/>
        <v>Low</v>
      </c>
    </row>
    <row r="298" spans="1:14" ht="15.75" customHeight="1">
      <c r="A298" t="s">
        <v>361</v>
      </c>
      <c r="B298">
        <v>18</v>
      </c>
      <c r="C298" t="s">
        <v>12</v>
      </c>
      <c r="D298" t="s">
        <v>58</v>
      </c>
      <c r="E298" t="s">
        <v>78</v>
      </c>
      <c r="F298" t="s">
        <v>15</v>
      </c>
      <c r="G298">
        <v>8</v>
      </c>
      <c r="H298">
        <v>1</v>
      </c>
      <c r="I298" t="s">
        <v>16</v>
      </c>
      <c r="J298" t="s">
        <v>32</v>
      </c>
      <c r="K298">
        <v>9</v>
      </c>
      <c r="L298" t="str">
        <f t="shared" si="12"/>
        <v>18-25</v>
      </c>
      <c r="M298" t="str">
        <f t="shared" si="13"/>
        <v>Binge Watcher</v>
      </c>
      <c r="N298" t="str">
        <f t="shared" si="14"/>
        <v>Low</v>
      </c>
    </row>
    <row r="299" spans="1:14" ht="15.75" customHeight="1">
      <c r="A299" t="s">
        <v>362</v>
      </c>
      <c r="B299">
        <v>19</v>
      </c>
      <c r="C299" t="s">
        <v>12</v>
      </c>
      <c r="D299" t="s">
        <v>13</v>
      </c>
      <c r="E299" t="s">
        <v>45</v>
      </c>
      <c r="F299" t="s">
        <v>30</v>
      </c>
      <c r="G299">
        <v>5</v>
      </c>
      <c r="H299">
        <v>3</v>
      </c>
      <c r="I299" t="s">
        <v>16</v>
      </c>
      <c r="J299" t="s">
        <v>17</v>
      </c>
      <c r="K299">
        <v>8</v>
      </c>
      <c r="L299" t="str">
        <f t="shared" si="12"/>
        <v>18-25</v>
      </c>
      <c r="M299" t="str">
        <f t="shared" si="13"/>
        <v>Binge Watcher</v>
      </c>
      <c r="N299" t="str">
        <f t="shared" si="14"/>
        <v>Low</v>
      </c>
    </row>
    <row r="300" spans="1:14" ht="15.75" customHeight="1">
      <c r="A300" t="s">
        <v>363</v>
      </c>
      <c r="B300">
        <v>37</v>
      </c>
      <c r="C300" t="s">
        <v>24</v>
      </c>
      <c r="D300" t="s">
        <v>34</v>
      </c>
      <c r="E300" t="s">
        <v>43</v>
      </c>
      <c r="F300" t="s">
        <v>30</v>
      </c>
      <c r="G300">
        <v>5</v>
      </c>
      <c r="H300">
        <v>3</v>
      </c>
      <c r="I300" t="s">
        <v>22</v>
      </c>
      <c r="J300" t="s">
        <v>17</v>
      </c>
      <c r="K300">
        <v>7</v>
      </c>
      <c r="L300" t="str">
        <f t="shared" si="12"/>
        <v>36-45</v>
      </c>
      <c r="M300" t="str">
        <f t="shared" si="13"/>
        <v>Binge Watcher</v>
      </c>
      <c r="N300" t="str">
        <f t="shared" si="14"/>
        <v>Low</v>
      </c>
    </row>
    <row r="301" spans="1:14" ht="15.75" customHeight="1">
      <c r="A301" t="s">
        <v>364</v>
      </c>
      <c r="B301">
        <v>20</v>
      </c>
      <c r="C301" t="s">
        <v>12</v>
      </c>
      <c r="D301" t="s">
        <v>34</v>
      </c>
      <c r="E301" t="s">
        <v>45</v>
      </c>
      <c r="F301" t="s">
        <v>30</v>
      </c>
      <c r="G301">
        <v>4</v>
      </c>
      <c r="H301">
        <v>1</v>
      </c>
      <c r="I301" t="s">
        <v>16</v>
      </c>
      <c r="J301" t="s">
        <v>17</v>
      </c>
      <c r="K301">
        <v>5</v>
      </c>
      <c r="L301" t="str">
        <f t="shared" si="12"/>
        <v>18-25</v>
      </c>
      <c r="M301" t="str">
        <f t="shared" si="13"/>
        <v>Regular Viewer</v>
      </c>
      <c r="N301" t="str">
        <f t="shared" si="14"/>
        <v>Low</v>
      </c>
    </row>
  </sheetData>
  <autoFilter ref="A1:N301" xr:uid="{00000000-0001-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3993-4F30-491D-84E4-589EEE46D584}">
  <dimension ref="A1:Q47"/>
  <sheetViews>
    <sheetView zoomScale="55" zoomScaleNormal="55" workbookViewId="0">
      <selection activeCell="R30" sqref="R29:S30"/>
    </sheetView>
  </sheetViews>
  <sheetFormatPr defaultRowHeight="14.4"/>
  <cols>
    <col min="1" max="1" width="20.5546875" bestFit="1" customWidth="1"/>
    <col min="2" max="2" width="16.88671875" bestFit="1" customWidth="1"/>
    <col min="4" max="4" width="16.88671875" bestFit="1" customWidth="1"/>
    <col min="5" max="5" width="15.5546875" bestFit="1" customWidth="1"/>
    <col min="6" max="7" width="5.6640625" bestFit="1" customWidth="1"/>
    <col min="8" max="8" width="4" bestFit="1" customWidth="1"/>
    <col min="9" max="9" width="10.77734375" bestFit="1" customWidth="1"/>
    <col min="10" max="10" width="5.77734375" bestFit="1" customWidth="1"/>
    <col min="11" max="11" width="4" bestFit="1" customWidth="1"/>
    <col min="12" max="12" width="15.109375" bestFit="1" customWidth="1"/>
    <col min="13" max="13" width="16.88671875" bestFit="1" customWidth="1"/>
    <col min="14" max="15" width="5.77734375" bestFit="1" customWidth="1"/>
    <col min="16" max="16" width="15.109375" bestFit="1" customWidth="1"/>
    <col min="17" max="17" width="16.88671875" bestFit="1" customWidth="1"/>
    <col min="18" max="18" width="14.33203125" bestFit="1" customWidth="1"/>
    <col min="19" max="20" width="5.77734375" bestFit="1" customWidth="1"/>
    <col min="21" max="21" width="4" bestFit="1" customWidth="1"/>
    <col min="22" max="22" width="18.109375" bestFit="1" customWidth="1"/>
    <col min="23" max="23" width="15.88671875" bestFit="1" customWidth="1"/>
    <col min="24" max="24" width="5.77734375" bestFit="1" customWidth="1"/>
    <col min="25" max="25" width="19.5546875" bestFit="1" customWidth="1"/>
    <col min="26" max="26" width="14.88671875" bestFit="1" customWidth="1"/>
    <col min="27" max="28" width="5.77734375" bestFit="1" customWidth="1"/>
    <col min="29" max="29" width="18.6640625" bestFit="1" customWidth="1"/>
    <col min="30" max="30" width="9.44140625" bestFit="1" customWidth="1"/>
    <col min="31" max="32" width="5.77734375" bestFit="1" customWidth="1"/>
    <col min="33" max="33" width="4" bestFit="1" customWidth="1"/>
    <col min="34" max="34" width="12.77734375" bestFit="1" customWidth="1"/>
    <col min="35" max="35" width="17.77734375" bestFit="1" customWidth="1"/>
    <col min="36" max="37" width="5.77734375" bestFit="1" customWidth="1"/>
    <col min="38" max="38" width="21.44140625" bestFit="1" customWidth="1"/>
    <col min="39" max="39" width="18" bestFit="1" customWidth="1"/>
    <col min="40" max="41" width="5.77734375" bestFit="1" customWidth="1"/>
    <col min="42" max="42" width="21.6640625" bestFit="1" customWidth="1"/>
    <col min="43" max="43" width="16.6640625" bestFit="1" customWidth="1"/>
    <col min="44" max="45" width="5.77734375" bestFit="1" customWidth="1"/>
    <col min="46" max="46" width="20.33203125" bestFit="1" customWidth="1"/>
    <col min="47" max="47" width="7.33203125" bestFit="1" customWidth="1"/>
    <col min="48" max="49" width="5.77734375" bestFit="1" customWidth="1"/>
    <col min="50" max="50" width="4" bestFit="1" customWidth="1"/>
    <col min="51" max="51" width="10.5546875" bestFit="1" customWidth="1"/>
    <col min="53" max="54" width="5.77734375" bestFit="1" customWidth="1"/>
    <col min="55" max="55" width="12.44140625" bestFit="1" customWidth="1"/>
    <col min="56" max="56" width="11.44140625" bestFit="1" customWidth="1"/>
  </cols>
  <sheetData>
    <row r="1" spans="1:17">
      <c r="A1" s="1" t="s">
        <v>368</v>
      </c>
      <c r="B1" t="s">
        <v>370</v>
      </c>
    </row>
    <row r="2" spans="1:17">
      <c r="A2" s="2" t="s">
        <v>65</v>
      </c>
      <c r="B2">
        <v>20</v>
      </c>
      <c r="P2" s="1" t="s">
        <v>368</v>
      </c>
      <c r="Q2" t="s">
        <v>370</v>
      </c>
    </row>
    <row r="3" spans="1:17">
      <c r="A3" s="2" t="s">
        <v>49</v>
      </c>
      <c r="B3">
        <v>18</v>
      </c>
      <c r="P3" s="2" t="s">
        <v>50</v>
      </c>
      <c r="Q3">
        <v>74</v>
      </c>
    </row>
    <row r="4" spans="1:17">
      <c r="A4" s="2" t="s">
        <v>25</v>
      </c>
      <c r="B4">
        <v>15</v>
      </c>
      <c r="P4" s="2" t="s">
        <v>15</v>
      </c>
      <c r="Q4">
        <v>53</v>
      </c>
    </row>
    <row r="5" spans="1:17">
      <c r="A5" s="2" t="s">
        <v>35</v>
      </c>
      <c r="B5">
        <v>15</v>
      </c>
      <c r="P5" s="2" t="s">
        <v>30</v>
      </c>
      <c r="Q5">
        <v>51</v>
      </c>
    </row>
    <row r="6" spans="1:17">
      <c r="A6" s="2" t="s">
        <v>88</v>
      </c>
      <c r="B6">
        <v>15</v>
      </c>
      <c r="P6" s="2" t="s">
        <v>53</v>
      </c>
      <c r="Q6">
        <v>33</v>
      </c>
    </row>
    <row r="7" spans="1:17">
      <c r="A7" s="2" t="s">
        <v>98</v>
      </c>
      <c r="B7">
        <v>14</v>
      </c>
      <c r="P7" s="2" t="s">
        <v>36</v>
      </c>
      <c r="Q7">
        <v>15</v>
      </c>
    </row>
    <row r="8" spans="1:17">
      <c r="A8" s="2" t="s">
        <v>14</v>
      </c>
      <c r="B8">
        <v>14</v>
      </c>
      <c r="P8" s="2" t="s">
        <v>26</v>
      </c>
      <c r="Q8">
        <v>15</v>
      </c>
    </row>
    <row r="9" spans="1:17">
      <c r="A9" s="2" t="s">
        <v>20</v>
      </c>
      <c r="B9">
        <v>14</v>
      </c>
      <c r="P9" s="2" t="s">
        <v>21</v>
      </c>
      <c r="Q9">
        <v>14</v>
      </c>
    </row>
    <row r="10" spans="1:17">
      <c r="A10" s="2" t="s">
        <v>70</v>
      </c>
      <c r="B10">
        <v>14</v>
      </c>
      <c r="P10" s="2" t="s">
        <v>56</v>
      </c>
      <c r="Q10">
        <v>13</v>
      </c>
    </row>
    <row r="11" spans="1:17">
      <c r="A11" s="2" t="s">
        <v>52</v>
      </c>
      <c r="B11">
        <v>13</v>
      </c>
      <c r="P11" s="2" t="s">
        <v>145</v>
      </c>
      <c r="Q11">
        <v>13</v>
      </c>
    </row>
    <row r="12" spans="1:17">
      <c r="A12" s="2" t="s">
        <v>55</v>
      </c>
      <c r="B12">
        <v>13</v>
      </c>
      <c r="P12" s="2" t="s">
        <v>126</v>
      </c>
      <c r="Q12">
        <v>7</v>
      </c>
    </row>
    <row r="13" spans="1:17">
      <c r="A13" s="2" t="s">
        <v>144</v>
      </c>
      <c r="B13">
        <v>13</v>
      </c>
      <c r="P13" s="2" t="s">
        <v>140</v>
      </c>
      <c r="Q13">
        <v>6</v>
      </c>
    </row>
    <row r="14" spans="1:17">
      <c r="A14" s="2" t="s">
        <v>45</v>
      </c>
      <c r="B14">
        <v>12</v>
      </c>
      <c r="P14" s="2" t="s">
        <v>103</v>
      </c>
      <c r="Q14">
        <v>6</v>
      </c>
    </row>
    <row r="15" spans="1:17">
      <c r="A15" s="2" t="s">
        <v>63</v>
      </c>
      <c r="B15">
        <v>11</v>
      </c>
      <c r="P15" s="2" t="s">
        <v>369</v>
      </c>
      <c r="Q15">
        <v>300</v>
      </c>
    </row>
    <row r="16" spans="1:17">
      <c r="A16" s="2" t="s">
        <v>43</v>
      </c>
      <c r="B16">
        <v>11</v>
      </c>
    </row>
    <row r="17" spans="1:2">
      <c r="A17" s="2" t="s">
        <v>84</v>
      </c>
      <c r="B17">
        <v>11</v>
      </c>
    </row>
    <row r="18" spans="1:2">
      <c r="A18" s="2" t="s">
        <v>60</v>
      </c>
      <c r="B18">
        <v>11</v>
      </c>
    </row>
    <row r="19" spans="1:2">
      <c r="A19" s="2" t="s">
        <v>95</v>
      </c>
      <c r="B19">
        <v>11</v>
      </c>
    </row>
    <row r="20" spans="1:2">
      <c r="A20" s="2" t="s">
        <v>78</v>
      </c>
      <c r="B20">
        <v>10</v>
      </c>
    </row>
    <row r="21" spans="1:2">
      <c r="A21" s="2" t="s">
        <v>29</v>
      </c>
      <c r="B21">
        <v>9</v>
      </c>
    </row>
    <row r="22" spans="1:2">
      <c r="A22" s="2" t="s">
        <v>86</v>
      </c>
      <c r="B22">
        <v>9</v>
      </c>
    </row>
    <row r="23" spans="1:2">
      <c r="A23" s="2" t="s">
        <v>67</v>
      </c>
      <c r="B23">
        <v>8</v>
      </c>
    </row>
    <row r="24" spans="1:2">
      <c r="A24" s="2" t="s">
        <v>125</v>
      </c>
      <c r="B24">
        <v>7</v>
      </c>
    </row>
    <row r="25" spans="1:2">
      <c r="A25" s="2" t="s">
        <v>139</v>
      </c>
      <c r="B25">
        <v>6</v>
      </c>
    </row>
    <row r="26" spans="1:2">
      <c r="A26" s="2" t="s">
        <v>102</v>
      </c>
      <c r="B26">
        <v>6</v>
      </c>
    </row>
    <row r="27" spans="1:2">
      <c r="A27" s="2" t="s">
        <v>369</v>
      </c>
      <c r="B27">
        <v>300</v>
      </c>
    </row>
    <row r="33" spans="4:13">
      <c r="D33" s="1" t="s">
        <v>370</v>
      </c>
      <c r="E33" s="1" t="s">
        <v>378</v>
      </c>
      <c r="L33" s="1" t="s">
        <v>368</v>
      </c>
      <c r="M33" t="s">
        <v>370</v>
      </c>
    </row>
    <row r="34" spans="4:13">
      <c r="D34" s="1" t="s">
        <v>368</v>
      </c>
      <c r="E34" t="s">
        <v>373</v>
      </c>
      <c r="F34" t="s">
        <v>377</v>
      </c>
      <c r="G34" t="s">
        <v>375</v>
      </c>
      <c r="H34" t="s">
        <v>371</v>
      </c>
      <c r="I34" t="s">
        <v>369</v>
      </c>
      <c r="L34" s="2" t="s">
        <v>374</v>
      </c>
      <c r="M34">
        <v>123</v>
      </c>
    </row>
    <row r="35" spans="4:13">
      <c r="D35" s="2" t="s">
        <v>30</v>
      </c>
      <c r="E35">
        <v>32</v>
      </c>
      <c r="F35">
        <v>12</v>
      </c>
      <c r="G35">
        <v>3</v>
      </c>
      <c r="H35">
        <v>4</v>
      </c>
      <c r="I35">
        <v>51</v>
      </c>
      <c r="L35" s="2" t="s">
        <v>376</v>
      </c>
      <c r="M35">
        <v>117</v>
      </c>
    </row>
    <row r="36" spans="4:13">
      <c r="D36" s="2" t="s">
        <v>15</v>
      </c>
      <c r="E36">
        <v>26</v>
      </c>
      <c r="F36">
        <v>19</v>
      </c>
      <c r="G36">
        <v>5</v>
      </c>
      <c r="H36">
        <v>3</v>
      </c>
      <c r="I36">
        <v>53</v>
      </c>
      <c r="L36" s="2" t="s">
        <v>372</v>
      </c>
      <c r="M36">
        <v>60</v>
      </c>
    </row>
    <row r="37" spans="4:13">
      <c r="D37" s="2" t="s">
        <v>50</v>
      </c>
      <c r="E37">
        <v>46</v>
      </c>
      <c r="F37">
        <v>15</v>
      </c>
      <c r="G37">
        <v>10</v>
      </c>
      <c r="H37">
        <v>3</v>
      </c>
      <c r="I37">
        <v>74</v>
      </c>
      <c r="L37" s="2" t="s">
        <v>369</v>
      </c>
      <c r="M37">
        <v>300</v>
      </c>
    </row>
    <row r="38" spans="4:13">
      <c r="D38" s="2" t="s">
        <v>53</v>
      </c>
      <c r="E38">
        <v>19</v>
      </c>
      <c r="F38">
        <v>9</v>
      </c>
      <c r="G38">
        <v>3</v>
      </c>
      <c r="H38">
        <v>2</v>
      </c>
      <c r="I38">
        <v>33</v>
      </c>
    </row>
    <row r="39" spans="4:13">
      <c r="D39" s="2" t="s">
        <v>26</v>
      </c>
      <c r="E39">
        <v>10</v>
      </c>
      <c r="F39">
        <v>2</v>
      </c>
      <c r="G39">
        <v>2</v>
      </c>
      <c r="H39">
        <v>1</v>
      </c>
      <c r="I39">
        <v>15</v>
      </c>
    </row>
    <row r="40" spans="4:13">
      <c r="D40" s="2" t="s">
        <v>36</v>
      </c>
      <c r="E40">
        <v>10</v>
      </c>
      <c r="F40">
        <v>2</v>
      </c>
      <c r="G40">
        <v>3</v>
      </c>
      <c r="I40">
        <v>15</v>
      </c>
    </row>
    <row r="41" spans="4:13">
      <c r="D41" s="2" t="s">
        <v>140</v>
      </c>
      <c r="E41">
        <v>3</v>
      </c>
      <c r="F41">
        <v>2</v>
      </c>
      <c r="G41">
        <v>1</v>
      </c>
      <c r="I41">
        <v>6</v>
      </c>
    </row>
    <row r="42" spans="4:13">
      <c r="D42" s="2" t="s">
        <v>21</v>
      </c>
      <c r="E42">
        <v>11</v>
      </c>
      <c r="F42">
        <v>2</v>
      </c>
      <c r="G42">
        <v>1</v>
      </c>
      <c r="I42">
        <v>14</v>
      </c>
    </row>
    <row r="43" spans="4:13">
      <c r="D43" s="2" t="s">
        <v>126</v>
      </c>
      <c r="E43">
        <v>5</v>
      </c>
      <c r="F43">
        <v>1</v>
      </c>
      <c r="G43">
        <v>1</v>
      </c>
      <c r="I43">
        <v>7</v>
      </c>
    </row>
    <row r="44" spans="4:13">
      <c r="D44" s="2" t="s">
        <v>103</v>
      </c>
      <c r="E44">
        <v>4</v>
      </c>
      <c r="F44">
        <v>2</v>
      </c>
      <c r="I44">
        <v>6</v>
      </c>
    </row>
    <row r="45" spans="4:13">
      <c r="D45" s="2" t="s">
        <v>56</v>
      </c>
      <c r="E45">
        <v>9</v>
      </c>
      <c r="F45">
        <v>4</v>
      </c>
      <c r="I45">
        <v>13</v>
      </c>
    </row>
    <row r="46" spans="4:13">
      <c r="D46" s="2" t="s">
        <v>145</v>
      </c>
      <c r="E46">
        <v>5</v>
      </c>
      <c r="F46">
        <v>5</v>
      </c>
      <c r="G46">
        <v>3</v>
      </c>
      <c r="I46">
        <v>13</v>
      </c>
    </row>
    <row r="47" spans="4:13">
      <c r="D47" s="2" t="s">
        <v>369</v>
      </c>
      <c r="E47">
        <v>180</v>
      </c>
      <c r="F47">
        <v>75</v>
      </c>
      <c r="G47">
        <v>32</v>
      </c>
      <c r="H47">
        <v>13</v>
      </c>
      <c r="I47">
        <v>300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4F03-123D-4B24-91FB-9CD0770CB3A0}">
  <dimension ref="A1:L14"/>
  <sheetViews>
    <sheetView zoomScale="70" zoomScaleNormal="70" workbookViewId="0">
      <selection activeCell="O30" sqref="O30"/>
    </sheetView>
  </sheetViews>
  <sheetFormatPr defaultRowHeight="14.4"/>
  <cols>
    <col min="1" max="1" width="12.5546875" bestFit="1" customWidth="1"/>
    <col min="2" max="2" width="16.88671875" bestFit="1" customWidth="1"/>
    <col min="11" max="11" width="15.109375" bestFit="1" customWidth="1"/>
    <col min="12" max="12" width="21.5546875" bestFit="1" customWidth="1"/>
  </cols>
  <sheetData>
    <row r="1" spans="1:12">
      <c r="A1" s="1" t="s">
        <v>368</v>
      </c>
      <c r="B1" t="s">
        <v>370</v>
      </c>
      <c r="K1" s="1" t="s">
        <v>368</v>
      </c>
      <c r="L1" t="s">
        <v>379</v>
      </c>
    </row>
    <row r="2" spans="1:12">
      <c r="A2" s="2" t="s">
        <v>22</v>
      </c>
      <c r="B2">
        <v>140</v>
      </c>
      <c r="K2" s="2" t="s">
        <v>53</v>
      </c>
      <c r="L2" s="3">
        <v>9.1212121212121211</v>
      </c>
    </row>
    <row r="3" spans="1:12">
      <c r="A3" s="2" t="s">
        <v>31</v>
      </c>
      <c r="B3">
        <v>90</v>
      </c>
      <c r="K3" s="2" t="s">
        <v>50</v>
      </c>
      <c r="L3" s="3">
        <v>8.9594594594594597</v>
      </c>
    </row>
    <row r="4" spans="1:12">
      <c r="A4" s="2" t="s">
        <v>16</v>
      </c>
      <c r="B4">
        <v>70</v>
      </c>
      <c r="K4" s="2" t="s">
        <v>15</v>
      </c>
      <c r="L4" s="3">
        <v>8.3396226415094343</v>
      </c>
    </row>
    <row r="5" spans="1:12">
      <c r="A5" s="2" t="s">
        <v>369</v>
      </c>
      <c r="B5">
        <v>300</v>
      </c>
      <c r="K5" s="2" t="s">
        <v>36</v>
      </c>
      <c r="L5" s="3">
        <v>7.8666666666666663</v>
      </c>
    </row>
    <row r="6" spans="1:12">
      <c r="K6" s="2" t="s">
        <v>26</v>
      </c>
      <c r="L6" s="3">
        <v>6.666666666666667</v>
      </c>
    </row>
    <row r="7" spans="1:12">
      <c r="K7" s="2" t="s">
        <v>30</v>
      </c>
      <c r="L7" s="3">
        <v>6.5882352941176467</v>
      </c>
    </row>
    <row r="8" spans="1:12">
      <c r="K8" s="2" t="s">
        <v>145</v>
      </c>
      <c r="L8" s="3">
        <v>6.5384615384615383</v>
      </c>
    </row>
    <row r="9" spans="1:12">
      <c r="K9" s="2" t="s">
        <v>56</v>
      </c>
      <c r="L9" s="3">
        <v>6.1538461538461542</v>
      </c>
    </row>
    <row r="10" spans="1:12">
      <c r="K10" s="2" t="s">
        <v>21</v>
      </c>
      <c r="L10" s="3">
        <v>6.0714285714285712</v>
      </c>
    </row>
    <row r="11" spans="1:12">
      <c r="K11" s="2" t="s">
        <v>140</v>
      </c>
      <c r="L11" s="3">
        <v>6</v>
      </c>
    </row>
    <row r="12" spans="1:12">
      <c r="K12" s="2" t="s">
        <v>126</v>
      </c>
      <c r="L12" s="3">
        <v>5.1428571428571432</v>
      </c>
    </row>
    <row r="13" spans="1:12">
      <c r="K13" s="2" t="s">
        <v>103</v>
      </c>
      <c r="L13" s="3">
        <v>4.5</v>
      </c>
    </row>
    <row r="14" spans="1:12">
      <c r="K14" s="2" t="s">
        <v>369</v>
      </c>
      <c r="L14" s="3">
        <v>7.6966666666666663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B199-5D63-4B87-B6BB-D7666AAE667B}">
  <dimension ref="A1:O164"/>
  <sheetViews>
    <sheetView topLeftCell="A7" zoomScale="85" zoomScaleNormal="85" workbookViewId="0">
      <selection activeCell="AB29" sqref="AB29"/>
    </sheetView>
  </sheetViews>
  <sheetFormatPr defaultRowHeight="14.4"/>
  <cols>
    <col min="1" max="1" width="11.21875" bestFit="1" customWidth="1"/>
    <col min="3" max="3" width="14" customWidth="1"/>
    <col min="10" max="10" width="11.21875" bestFit="1" customWidth="1"/>
    <col min="11" max="11" width="14.33203125" customWidth="1"/>
    <col min="12" max="12" width="19" customWidth="1"/>
    <col min="14" max="14" width="14.109375" customWidth="1"/>
    <col min="15" max="15" width="13.88671875" customWidth="1"/>
  </cols>
  <sheetData>
    <row r="1" spans="1:15">
      <c r="B1" s="7" t="s">
        <v>383</v>
      </c>
      <c r="C1" s="7"/>
      <c r="D1" s="7"/>
      <c r="F1" s="33" t="s">
        <v>384</v>
      </c>
      <c r="G1" s="33"/>
      <c r="H1" s="33"/>
      <c r="J1" s="4"/>
      <c r="K1" s="31" t="s">
        <v>6</v>
      </c>
      <c r="L1" s="31"/>
      <c r="N1" s="32" t="s">
        <v>388</v>
      </c>
      <c r="O1" s="32"/>
    </row>
    <row r="2" spans="1:15">
      <c r="B2" s="8" t="s">
        <v>382</v>
      </c>
      <c r="C2" s="9" t="s">
        <v>31</v>
      </c>
      <c r="D2" s="10" t="s">
        <v>22</v>
      </c>
      <c r="F2" s="5" t="s">
        <v>16</v>
      </c>
      <c r="G2" s="5" t="s">
        <v>31</v>
      </c>
      <c r="H2" s="5" t="s">
        <v>22</v>
      </c>
      <c r="K2" s="17" t="s">
        <v>32</v>
      </c>
      <c r="L2" s="17" t="s">
        <v>17</v>
      </c>
      <c r="N2" s="6" t="s">
        <v>32</v>
      </c>
      <c r="O2" s="6" t="s">
        <v>17</v>
      </c>
    </row>
    <row r="3" spans="1:15">
      <c r="A3" s="11" t="s">
        <v>385</v>
      </c>
      <c r="B3" s="12">
        <f>AVERAGE(F3:F72)</f>
        <v>7.3</v>
      </c>
      <c r="C3" s="12">
        <f>AVERAGE(G3:G92)</f>
        <v>8.2333333333333325</v>
      </c>
      <c r="D3" s="13">
        <f>AVERAGE(H3:H142)</f>
        <v>7.5928571428571425</v>
      </c>
      <c r="F3">
        <v>11</v>
      </c>
      <c r="G3">
        <v>9</v>
      </c>
      <c r="H3">
        <v>12</v>
      </c>
      <c r="J3" s="15" t="s">
        <v>385</v>
      </c>
      <c r="K3" s="13">
        <f>AVERAGE(N3:N164)</f>
        <v>2.9444444444444446</v>
      </c>
      <c r="L3" s="16">
        <f>AVERAGE(O3:O140)</f>
        <v>3.0072463768115942</v>
      </c>
      <c r="N3">
        <v>5</v>
      </c>
      <c r="O3">
        <v>3</v>
      </c>
    </row>
    <row r="4" spans="1:15">
      <c r="A4" s="11" t="s">
        <v>380</v>
      </c>
      <c r="B4" s="14">
        <f>MEDIAN(F3:F72 )</f>
        <v>7</v>
      </c>
      <c r="C4" s="14">
        <f>MEDIAN(G3:G92)</f>
        <v>9</v>
      </c>
      <c r="D4" s="11">
        <f>MEDIAN(H3:H142)</f>
        <v>8</v>
      </c>
      <c r="F4">
        <v>13</v>
      </c>
      <c r="G4">
        <v>9</v>
      </c>
      <c r="H4">
        <v>2</v>
      </c>
      <c r="J4" s="11" t="s">
        <v>380</v>
      </c>
      <c r="K4" s="11">
        <f>MEDIAN(N3:N164)</f>
        <v>3</v>
      </c>
      <c r="L4" s="11">
        <f>MEDIAN(O3:O140)</f>
        <v>3</v>
      </c>
      <c r="N4">
        <v>1</v>
      </c>
      <c r="O4">
        <v>5</v>
      </c>
    </row>
    <row r="5" spans="1:15">
      <c r="A5" s="11" t="s">
        <v>381</v>
      </c>
      <c r="B5" s="11">
        <f>MODE(F3:F72)</f>
        <v>3</v>
      </c>
      <c r="C5" s="11">
        <f>MODE(G3:G92)</f>
        <v>10</v>
      </c>
      <c r="D5" s="11">
        <f>MODE(H3:H142)</f>
        <v>12</v>
      </c>
      <c r="F5">
        <v>12</v>
      </c>
      <c r="G5">
        <v>13</v>
      </c>
      <c r="H5">
        <v>1</v>
      </c>
      <c r="J5" s="11" t="s">
        <v>381</v>
      </c>
      <c r="K5" s="11">
        <f>MODE(N3:N164)</f>
        <v>1</v>
      </c>
      <c r="L5" s="11">
        <f>MODE(O3:O140)</f>
        <v>3</v>
      </c>
      <c r="N5">
        <v>1</v>
      </c>
      <c r="O5">
        <v>3</v>
      </c>
    </row>
    <row r="6" spans="1:15">
      <c r="A6" s="11" t="s">
        <v>387</v>
      </c>
      <c r="B6" s="11">
        <f>SKEW(F3:F72)</f>
        <v>0.12358802255704669</v>
      </c>
      <c r="C6" s="11">
        <f>SKEW(G3:G92)</f>
        <v>-0.1043604429916045</v>
      </c>
      <c r="D6" s="11">
        <f>SKEW(H3:H142)</f>
        <v>5.9431265927450475E-2</v>
      </c>
      <c r="F6">
        <v>13</v>
      </c>
      <c r="G6">
        <v>10</v>
      </c>
      <c r="H6">
        <v>12</v>
      </c>
      <c r="J6" s="20" t="s">
        <v>387</v>
      </c>
      <c r="K6" s="20">
        <f>SKEW(N3:N164)</f>
        <v>0.30051347413062951</v>
      </c>
      <c r="L6" s="20">
        <f>SKEW(O3:O140)</f>
        <v>0.10210352527612442</v>
      </c>
      <c r="M6" s="4"/>
      <c r="N6">
        <v>3</v>
      </c>
      <c r="O6">
        <v>3</v>
      </c>
    </row>
    <row r="7" spans="1:15" s="19" customFormat="1" ht="14.4" customHeight="1">
      <c r="A7" s="18" t="s">
        <v>386</v>
      </c>
      <c r="B7" s="26" t="s">
        <v>389</v>
      </c>
      <c r="C7" s="26"/>
      <c r="D7" s="26"/>
      <c r="F7" s="19">
        <v>5</v>
      </c>
      <c r="G7" s="19">
        <v>6</v>
      </c>
      <c r="H7" s="19">
        <v>9</v>
      </c>
      <c r="J7" s="18" t="s">
        <v>386</v>
      </c>
      <c r="K7" s="28" t="s">
        <v>390</v>
      </c>
      <c r="L7" s="29"/>
      <c r="N7" s="19">
        <v>5</v>
      </c>
      <c r="O7" s="19">
        <v>4</v>
      </c>
    </row>
    <row r="8" spans="1:15">
      <c r="B8" s="27"/>
      <c r="C8" s="27"/>
      <c r="D8" s="27"/>
      <c r="F8">
        <v>14</v>
      </c>
      <c r="G8">
        <v>8</v>
      </c>
      <c r="H8">
        <v>10</v>
      </c>
      <c r="K8" s="30"/>
      <c r="L8" s="30"/>
      <c r="N8">
        <v>2</v>
      </c>
      <c r="O8">
        <v>1</v>
      </c>
    </row>
    <row r="9" spans="1:15">
      <c r="B9" s="27"/>
      <c r="C9" s="27"/>
      <c r="D9" s="27"/>
      <c r="F9">
        <v>6</v>
      </c>
      <c r="G9">
        <v>9</v>
      </c>
      <c r="H9">
        <v>7</v>
      </c>
      <c r="K9" s="30"/>
      <c r="L9" s="30"/>
      <c r="N9">
        <v>5</v>
      </c>
      <c r="O9">
        <v>7</v>
      </c>
    </row>
    <row r="10" spans="1:15">
      <c r="B10" s="27"/>
      <c r="C10" s="27"/>
      <c r="D10" s="27"/>
      <c r="F10">
        <v>3</v>
      </c>
      <c r="G10">
        <v>13</v>
      </c>
      <c r="H10">
        <v>5</v>
      </c>
      <c r="K10" s="30"/>
      <c r="L10" s="30"/>
      <c r="N10">
        <v>2</v>
      </c>
      <c r="O10">
        <v>5</v>
      </c>
    </row>
    <row r="11" spans="1:15">
      <c r="B11" s="27"/>
      <c r="C11" s="27"/>
      <c r="D11" s="27"/>
      <c r="F11">
        <v>3</v>
      </c>
      <c r="G11">
        <v>6</v>
      </c>
      <c r="H11">
        <v>11</v>
      </c>
      <c r="K11" s="30"/>
      <c r="L11" s="30"/>
      <c r="N11">
        <v>3</v>
      </c>
      <c r="O11">
        <v>2</v>
      </c>
    </row>
    <row r="12" spans="1:15" ht="14.4" customHeight="1">
      <c r="B12" s="27"/>
      <c r="C12" s="27"/>
      <c r="D12" s="27"/>
      <c r="F12">
        <v>5</v>
      </c>
      <c r="G12">
        <v>1</v>
      </c>
      <c r="H12">
        <v>8</v>
      </c>
      <c r="K12" s="30"/>
      <c r="L12" s="30"/>
      <c r="N12">
        <v>1</v>
      </c>
      <c r="O12">
        <v>5</v>
      </c>
    </row>
    <row r="13" spans="1:15">
      <c r="B13" s="27"/>
      <c r="C13" s="27"/>
      <c r="D13" s="27"/>
      <c r="F13">
        <v>3</v>
      </c>
      <c r="G13">
        <v>14</v>
      </c>
      <c r="H13">
        <v>3</v>
      </c>
      <c r="K13" s="30"/>
      <c r="L13" s="30"/>
      <c r="N13">
        <v>1</v>
      </c>
      <c r="O13">
        <v>3</v>
      </c>
    </row>
    <row r="14" spans="1:15">
      <c r="B14" s="27"/>
      <c r="C14" s="27"/>
      <c r="D14" s="27"/>
      <c r="F14">
        <v>2</v>
      </c>
      <c r="G14">
        <v>14</v>
      </c>
      <c r="H14">
        <v>13</v>
      </c>
      <c r="K14" s="30"/>
      <c r="L14" s="30"/>
      <c r="N14">
        <v>3</v>
      </c>
      <c r="O14">
        <v>1</v>
      </c>
    </row>
    <row r="15" spans="1:15">
      <c r="B15" s="27"/>
      <c r="C15" s="27"/>
      <c r="D15" s="27"/>
      <c r="F15">
        <v>12</v>
      </c>
      <c r="G15">
        <v>4</v>
      </c>
      <c r="H15">
        <v>2</v>
      </c>
      <c r="K15" s="30"/>
      <c r="L15" s="30"/>
      <c r="N15">
        <v>1</v>
      </c>
      <c r="O15">
        <v>4</v>
      </c>
    </row>
    <row r="16" spans="1:15">
      <c r="F16">
        <v>3</v>
      </c>
      <c r="G16">
        <v>14</v>
      </c>
      <c r="H16">
        <v>10</v>
      </c>
      <c r="N16">
        <v>1</v>
      </c>
      <c r="O16">
        <v>5</v>
      </c>
    </row>
    <row r="17" spans="6:15">
      <c r="F17">
        <v>5</v>
      </c>
      <c r="G17">
        <v>12</v>
      </c>
      <c r="H17">
        <v>11</v>
      </c>
      <c r="N17">
        <v>2</v>
      </c>
      <c r="O17">
        <v>3</v>
      </c>
    </row>
    <row r="18" spans="6:15">
      <c r="F18">
        <v>14</v>
      </c>
      <c r="G18">
        <v>6</v>
      </c>
      <c r="H18">
        <v>2</v>
      </c>
      <c r="N18">
        <v>5</v>
      </c>
      <c r="O18">
        <v>2</v>
      </c>
    </row>
    <row r="19" spans="6:15">
      <c r="F19">
        <v>5</v>
      </c>
      <c r="G19">
        <v>6</v>
      </c>
      <c r="H19">
        <v>9</v>
      </c>
      <c r="N19">
        <v>2</v>
      </c>
      <c r="O19">
        <v>5</v>
      </c>
    </row>
    <row r="20" spans="6:15">
      <c r="F20">
        <v>1</v>
      </c>
      <c r="G20">
        <v>14</v>
      </c>
      <c r="H20">
        <v>1</v>
      </c>
      <c r="N20">
        <v>4</v>
      </c>
      <c r="O20">
        <v>4</v>
      </c>
    </row>
    <row r="21" spans="6:15">
      <c r="F21">
        <v>11</v>
      </c>
      <c r="G21">
        <v>6</v>
      </c>
      <c r="H21">
        <v>1</v>
      </c>
      <c r="N21">
        <v>1</v>
      </c>
      <c r="O21">
        <v>4</v>
      </c>
    </row>
    <row r="22" spans="6:15">
      <c r="F22">
        <v>8</v>
      </c>
      <c r="G22">
        <v>14</v>
      </c>
      <c r="H22">
        <v>7</v>
      </c>
      <c r="N22">
        <v>5</v>
      </c>
      <c r="O22">
        <v>1</v>
      </c>
    </row>
    <row r="23" spans="6:15">
      <c r="F23">
        <v>3</v>
      </c>
      <c r="G23">
        <v>1</v>
      </c>
      <c r="H23">
        <v>14</v>
      </c>
      <c r="N23">
        <v>3</v>
      </c>
      <c r="O23">
        <v>4</v>
      </c>
    </row>
    <row r="24" spans="6:15">
      <c r="F24">
        <v>13</v>
      </c>
      <c r="G24">
        <v>3</v>
      </c>
      <c r="H24">
        <v>8</v>
      </c>
      <c r="N24">
        <v>1</v>
      </c>
      <c r="O24">
        <v>2</v>
      </c>
    </row>
    <row r="25" spans="6:15">
      <c r="F25">
        <v>8</v>
      </c>
      <c r="G25">
        <v>8</v>
      </c>
      <c r="H25">
        <v>2</v>
      </c>
      <c r="N25">
        <v>2</v>
      </c>
      <c r="O25">
        <v>3</v>
      </c>
    </row>
    <row r="26" spans="6:15">
      <c r="F26">
        <v>2</v>
      </c>
      <c r="G26">
        <v>10</v>
      </c>
      <c r="H26">
        <v>4</v>
      </c>
      <c r="N26">
        <v>4</v>
      </c>
      <c r="O26">
        <v>5</v>
      </c>
    </row>
    <row r="27" spans="6:15">
      <c r="F27">
        <v>1</v>
      </c>
      <c r="G27">
        <v>14</v>
      </c>
      <c r="H27">
        <v>6</v>
      </c>
      <c r="N27">
        <v>3</v>
      </c>
      <c r="O27">
        <v>5</v>
      </c>
    </row>
    <row r="28" spans="6:15">
      <c r="F28">
        <v>2</v>
      </c>
      <c r="G28">
        <v>5</v>
      </c>
      <c r="H28">
        <v>5</v>
      </c>
      <c r="N28">
        <v>2</v>
      </c>
      <c r="O28">
        <v>3</v>
      </c>
    </row>
    <row r="29" spans="6:15">
      <c r="F29">
        <v>9</v>
      </c>
      <c r="G29">
        <v>3</v>
      </c>
      <c r="H29">
        <v>14</v>
      </c>
      <c r="N29">
        <v>3</v>
      </c>
      <c r="O29">
        <v>5</v>
      </c>
    </row>
    <row r="30" spans="6:15">
      <c r="F30">
        <v>15</v>
      </c>
      <c r="G30">
        <v>2</v>
      </c>
      <c r="H30">
        <v>1</v>
      </c>
      <c r="N30">
        <v>5</v>
      </c>
      <c r="O30">
        <v>1</v>
      </c>
    </row>
    <row r="31" spans="6:15">
      <c r="F31">
        <v>9</v>
      </c>
      <c r="G31">
        <v>1</v>
      </c>
      <c r="H31">
        <v>6</v>
      </c>
      <c r="N31">
        <v>4</v>
      </c>
      <c r="O31">
        <v>2</v>
      </c>
    </row>
    <row r="32" spans="6:15">
      <c r="F32">
        <v>10</v>
      </c>
      <c r="G32">
        <v>14</v>
      </c>
      <c r="H32">
        <v>6</v>
      </c>
      <c r="N32">
        <v>2</v>
      </c>
      <c r="O32">
        <v>2</v>
      </c>
    </row>
    <row r="33" spans="6:15">
      <c r="F33">
        <v>8</v>
      </c>
      <c r="G33">
        <v>9</v>
      </c>
      <c r="H33">
        <v>10</v>
      </c>
      <c r="N33">
        <v>2</v>
      </c>
      <c r="O33">
        <v>3</v>
      </c>
    </row>
    <row r="34" spans="6:15">
      <c r="F34">
        <v>10</v>
      </c>
      <c r="G34">
        <v>14</v>
      </c>
      <c r="H34">
        <v>2</v>
      </c>
      <c r="N34">
        <v>1</v>
      </c>
      <c r="O34">
        <v>4</v>
      </c>
    </row>
    <row r="35" spans="6:15">
      <c r="F35">
        <v>13</v>
      </c>
      <c r="G35">
        <v>8</v>
      </c>
      <c r="H35">
        <v>10</v>
      </c>
      <c r="N35">
        <v>1</v>
      </c>
      <c r="O35">
        <v>1</v>
      </c>
    </row>
    <row r="36" spans="6:15">
      <c r="F36">
        <v>3</v>
      </c>
      <c r="G36">
        <v>10</v>
      </c>
      <c r="H36">
        <v>9</v>
      </c>
      <c r="N36">
        <v>5</v>
      </c>
      <c r="O36">
        <v>2</v>
      </c>
    </row>
    <row r="37" spans="6:15">
      <c r="F37">
        <v>10</v>
      </c>
      <c r="G37">
        <v>6</v>
      </c>
      <c r="H37">
        <v>13</v>
      </c>
      <c r="N37">
        <v>1</v>
      </c>
      <c r="O37">
        <v>4</v>
      </c>
    </row>
    <row r="38" spans="6:15">
      <c r="F38">
        <v>10</v>
      </c>
      <c r="G38">
        <v>11</v>
      </c>
      <c r="H38">
        <v>14</v>
      </c>
      <c r="N38">
        <v>5</v>
      </c>
      <c r="O38">
        <v>1</v>
      </c>
    </row>
    <row r="39" spans="6:15">
      <c r="F39">
        <v>12</v>
      </c>
      <c r="G39">
        <v>2</v>
      </c>
      <c r="H39">
        <v>7</v>
      </c>
      <c r="N39">
        <v>4</v>
      </c>
      <c r="O39">
        <v>3</v>
      </c>
    </row>
    <row r="40" spans="6:15">
      <c r="F40">
        <v>6</v>
      </c>
      <c r="G40">
        <v>4</v>
      </c>
      <c r="H40">
        <v>11</v>
      </c>
      <c r="N40">
        <v>5</v>
      </c>
      <c r="O40">
        <v>2</v>
      </c>
    </row>
    <row r="41" spans="6:15">
      <c r="F41">
        <v>5</v>
      </c>
      <c r="G41">
        <v>15</v>
      </c>
      <c r="H41">
        <v>14</v>
      </c>
      <c r="N41">
        <v>4</v>
      </c>
      <c r="O41">
        <v>2</v>
      </c>
    </row>
    <row r="42" spans="6:15">
      <c r="F42">
        <v>10</v>
      </c>
      <c r="G42">
        <v>3</v>
      </c>
      <c r="H42">
        <v>13</v>
      </c>
      <c r="N42">
        <v>1</v>
      </c>
      <c r="O42">
        <v>3</v>
      </c>
    </row>
    <row r="43" spans="6:15">
      <c r="F43">
        <v>4</v>
      </c>
      <c r="G43">
        <v>4</v>
      </c>
      <c r="H43">
        <v>6</v>
      </c>
      <c r="N43">
        <v>2</v>
      </c>
      <c r="O43">
        <v>3</v>
      </c>
    </row>
    <row r="44" spans="6:15">
      <c r="F44">
        <v>6</v>
      </c>
      <c r="G44">
        <v>10</v>
      </c>
      <c r="H44">
        <v>5</v>
      </c>
      <c r="N44">
        <v>1</v>
      </c>
      <c r="O44">
        <v>4</v>
      </c>
    </row>
    <row r="45" spans="6:15">
      <c r="F45">
        <v>1</v>
      </c>
      <c r="G45">
        <v>10</v>
      </c>
      <c r="H45">
        <v>14</v>
      </c>
      <c r="N45">
        <v>4</v>
      </c>
      <c r="O45">
        <v>4</v>
      </c>
    </row>
    <row r="46" spans="6:15">
      <c r="F46">
        <v>8</v>
      </c>
      <c r="G46">
        <v>15</v>
      </c>
      <c r="H46">
        <v>9</v>
      </c>
      <c r="N46">
        <v>1</v>
      </c>
      <c r="O46">
        <v>3</v>
      </c>
    </row>
    <row r="47" spans="6:15">
      <c r="F47">
        <v>8</v>
      </c>
      <c r="G47">
        <v>11</v>
      </c>
      <c r="H47">
        <v>5</v>
      </c>
      <c r="N47">
        <v>5</v>
      </c>
      <c r="O47">
        <v>2</v>
      </c>
    </row>
    <row r="48" spans="6:15">
      <c r="F48">
        <v>10</v>
      </c>
      <c r="G48">
        <v>9</v>
      </c>
      <c r="H48">
        <v>5</v>
      </c>
      <c r="N48">
        <v>3</v>
      </c>
      <c r="O48">
        <v>2</v>
      </c>
    </row>
    <row r="49" spans="6:15">
      <c r="F49">
        <v>13</v>
      </c>
      <c r="G49">
        <v>10</v>
      </c>
      <c r="H49">
        <v>15</v>
      </c>
      <c r="N49">
        <v>1</v>
      </c>
      <c r="O49">
        <v>3</v>
      </c>
    </row>
    <row r="50" spans="6:15">
      <c r="F50">
        <v>14</v>
      </c>
      <c r="G50">
        <v>10</v>
      </c>
      <c r="H50">
        <v>6</v>
      </c>
      <c r="N50">
        <v>3</v>
      </c>
      <c r="O50">
        <v>5</v>
      </c>
    </row>
    <row r="51" spans="6:15">
      <c r="F51">
        <v>6</v>
      </c>
      <c r="G51">
        <v>3</v>
      </c>
      <c r="H51">
        <v>13</v>
      </c>
      <c r="N51">
        <v>4</v>
      </c>
      <c r="O51">
        <v>3</v>
      </c>
    </row>
    <row r="52" spans="6:15">
      <c r="F52">
        <v>7</v>
      </c>
      <c r="G52">
        <v>5</v>
      </c>
      <c r="H52">
        <v>12</v>
      </c>
      <c r="N52">
        <v>2</v>
      </c>
      <c r="O52">
        <v>3</v>
      </c>
    </row>
    <row r="53" spans="6:15">
      <c r="F53">
        <v>3</v>
      </c>
      <c r="G53">
        <v>3</v>
      </c>
      <c r="H53">
        <v>2</v>
      </c>
      <c r="N53">
        <v>5</v>
      </c>
      <c r="O53">
        <v>3</v>
      </c>
    </row>
    <row r="54" spans="6:15">
      <c r="F54">
        <v>12</v>
      </c>
      <c r="G54">
        <v>12</v>
      </c>
      <c r="H54">
        <v>3</v>
      </c>
      <c r="N54">
        <v>1</v>
      </c>
      <c r="O54">
        <v>3</v>
      </c>
    </row>
    <row r="55" spans="6:15">
      <c r="F55">
        <v>5</v>
      </c>
      <c r="G55">
        <v>3</v>
      </c>
      <c r="H55">
        <v>2</v>
      </c>
      <c r="N55">
        <v>2</v>
      </c>
      <c r="O55">
        <v>1</v>
      </c>
    </row>
    <row r="56" spans="6:15">
      <c r="F56">
        <v>6</v>
      </c>
      <c r="G56">
        <v>4</v>
      </c>
      <c r="H56">
        <v>4</v>
      </c>
      <c r="N56">
        <v>1</v>
      </c>
      <c r="O56">
        <v>1</v>
      </c>
    </row>
    <row r="57" spans="6:15">
      <c r="F57">
        <v>10</v>
      </c>
      <c r="G57">
        <v>13</v>
      </c>
      <c r="H57">
        <v>15</v>
      </c>
      <c r="N57">
        <v>5</v>
      </c>
      <c r="O57">
        <v>2</v>
      </c>
    </row>
    <row r="58" spans="6:15">
      <c r="F58">
        <v>15</v>
      </c>
      <c r="G58">
        <v>9</v>
      </c>
      <c r="H58">
        <v>13</v>
      </c>
      <c r="N58">
        <v>2</v>
      </c>
      <c r="O58">
        <v>5</v>
      </c>
    </row>
    <row r="59" spans="6:15">
      <c r="F59">
        <v>7</v>
      </c>
      <c r="G59">
        <v>10</v>
      </c>
      <c r="H59">
        <v>5</v>
      </c>
      <c r="N59">
        <v>3</v>
      </c>
      <c r="O59">
        <v>1</v>
      </c>
    </row>
    <row r="60" spans="6:15">
      <c r="F60">
        <v>3</v>
      </c>
      <c r="G60">
        <v>9</v>
      </c>
      <c r="H60">
        <v>9</v>
      </c>
      <c r="N60">
        <v>1</v>
      </c>
      <c r="O60">
        <v>4</v>
      </c>
    </row>
    <row r="61" spans="6:15">
      <c r="F61">
        <v>1</v>
      </c>
      <c r="G61">
        <v>8</v>
      </c>
      <c r="H61">
        <v>6</v>
      </c>
      <c r="N61">
        <v>3</v>
      </c>
      <c r="O61">
        <v>2</v>
      </c>
    </row>
    <row r="62" spans="6:15">
      <c r="F62">
        <v>3</v>
      </c>
      <c r="G62">
        <v>6</v>
      </c>
      <c r="H62">
        <v>13</v>
      </c>
      <c r="N62">
        <v>2</v>
      </c>
      <c r="O62">
        <v>5</v>
      </c>
    </row>
    <row r="63" spans="6:15">
      <c r="F63">
        <v>10</v>
      </c>
      <c r="G63">
        <v>13</v>
      </c>
      <c r="H63">
        <v>1</v>
      </c>
      <c r="N63">
        <v>3</v>
      </c>
      <c r="O63">
        <v>1</v>
      </c>
    </row>
    <row r="64" spans="6:15">
      <c r="F64">
        <v>11</v>
      </c>
      <c r="G64">
        <v>8</v>
      </c>
      <c r="H64">
        <v>10</v>
      </c>
      <c r="N64">
        <v>2</v>
      </c>
      <c r="O64">
        <v>3</v>
      </c>
    </row>
    <row r="65" spans="6:15">
      <c r="F65">
        <v>4</v>
      </c>
      <c r="G65">
        <v>14</v>
      </c>
      <c r="H65">
        <v>12</v>
      </c>
      <c r="N65">
        <v>2</v>
      </c>
      <c r="O65">
        <v>4</v>
      </c>
    </row>
    <row r="66" spans="6:15">
      <c r="F66">
        <v>4</v>
      </c>
      <c r="G66">
        <v>8</v>
      </c>
      <c r="H66">
        <v>9</v>
      </c>
      <c r="N66">
        <v>2</v>
      </c>
      <c r="O66">
        <v>1</v>
      </c>
    </row>
    <row r="67" spans="6:15">
      <c r="F67">
        <v>6</v>
      </c>
      <c r="G67">
        <v>15</v>
      </c>
      <c r="H67">
        <v>15</v>
      </c>
      <c r="N67">
        <v>1</v>
      </c>
      <c r="O67">
        <v>3</v>
      </c>
    </row>
    <row r="68" spans="6:15">
      <c r="F68">
        <v>10</v>
      </c>
      <c r="G68">
        <v>14</v>
      </c>
      <c r="H68">
        <v>9</v>
      </c>
      <c r="N68">
        <v>3</v>
      </c>
      <c r="O68">
        <v>5</v>
      </c>
    </row>
    <row r="69" spans="6:15">
      <c r="F69">
        <v>11</v>
      </c>
      <c r="G69">
        <v>15</v>
      </c>
      <c r="H69">
        <v>5</v>
      </c>
      <c r="N69">
        <v>4</v>
      </c>
      <c r="O69">
        <v>3</v>
      </c>
    </row>
    <row r="70" spans="6:15">
      <c r="F70">
        <v>1</v>
      </c>
      <c r="G70">
        <v>15</v>
      </c>
      <c r="H70">
        <v>4</v>
      </c>
      <c r="N70">
        <v>3</v>
      </c>
      <c r="O70">
        <v>5</v>
      </c>
    </row>
    <row r="71" spans="6:15">
      <c r="F71">
        <v>3</v>
      </c>
      <c r="G71">
        <v>5</v>
      </c>
      <c r="H71">
        <v>7</v>
      </c>
      <c r="N71">
        <v>4</v>
      </c>
      <c r="O71">
        <v>1</v>
      </c>
    </row>
    <row r="72" spans="6:15">
      <c r="F72">
        <v>1</v>
      </c>
      <c r="G72">
        <v>3</v>
      </c>
      <c r="H72">
        <v>2</v>
      </c>
      <c r="N72">
        <v>4</v>
      </c>
      <c r="O72">
        <v>5</v>
      </c>
    </row>
    <row r="73" spans="6:15">
      <c r="G73">
        <v>8</v>
      </c>
      <c r="H73">
        <v>12</v>
      </c>
      <c r="N73">
        <v>1</v>
      </c>
      <c r="O73">
        <v>4</v>
      </c>
    </row>
    <row r="74" spans="6:15">
      <c r="G74">
        <v>1</v>
      </c>
      <c r="H74">
        <v>5</v>
      </c>
      <c r="N74">
        <v>3</v>
      </c>
      <c r="O74">
        <v>1</v>
      </c>
    </row>
    <row r="75" spans="6:15">
      <c r="G75">
        <v>15</v>
      </c>
      <c r="H75">
        <v>1</v>
      </c>
      <c r="N75">
        <v>3</v>
      </c>
      <c r="O75">
        <v>1</v>
      </c>
    </row>
    <row r="76" spans="6:15">
      <c r="G76">
        <v>10</v>
      </c>
      <c r="H76">
        <v>3</v>
      </c>
      <c r="N76">
        <v>5</v>
      </c>
      <c r="O76">
        <v>1</v>
      </c>
    </row>
    <row r="77" spans="6:15">
      <c r="G77">
        <v>2</v>
      </c>
      <c r="H77">
        <v>4</v>
      </c>
      <c r="N77">
        <v>5</v>
      </c>
      <c r="O77">
        <v>5</v>
      </c>
    </row>
    <row r="78" spans="6:15">
      <c r="G78">
        <v>1</v>
      </c>
      <c r="H78">
        <v>4</v>
      </c>
      <c r="N78">
        <v>2</v>
      </c>
      <c r="O78">
        <v>2</v>
      </c>
    </row>
    <row r="79" spans="6:15">
      <c r="G79">
        <v>10</v>
      </c>
      <c r="H79">
        <v>8</v>
      </c>
      <c r="N79">
        <v>2</v>
      </c>
      <c r="O79">
        <v>1</v>
      </c>
    </row>
    <row r="80" spans="6:15">
      <c r="G80">
        <v>10</v>
      </c>
      <c r="H80">
        <v>6</v>
      </c>
      <c r="N80">
        <v>1</v>
      </c>
      <c r="O80">
        <v>2</v>
      </c>
    </row>
    <row r="81" spans="7:15">
      <c r="G81">
        <v>7</v>
      </c>
      <c r="H81">
        <v>14</v>
      </c>
      <c r="N81">
        <v>3</v>
      </c>
      <c r="O81">
        <v>5</v>
      </c>
    </row>
    <row r="82" spans="7:15">
      <c r="G82">
        <v>12</v>
      </c>
      <c r="H82">
        <v>1</v>
      </c>
      <c r="N82">
        <v>1</v>
      </c>
      <c r="O82">
        <v>4</v>
      </c>
    </row>
    <row r="83" spans="7:15">
      <c r="G83">
        <v>2</v>
      </c>
      <c r="H83">
        <v>12</v>
      </c>
      <c r="N83">
        <v>4</v>
      </c>
      <c r="O83">
        <v>1</v>
      </c>
    </row>
    <row r="84" spans="7:15">
      <c r="G84">
        <v>12</v>
      </c>
      <c r="H84">
        <v>5</v>
      </c>
      <c r="N84">
        <v>4</v>
      </c>
      <c r="O84">
        <v>2</v>
      </c>
    </row>
    <row r="85" spans="7:15">
      <c r="G85">
        <v>10</v>
      </c>
      <c r="H85">
        <v>6</v>
      </c>
      <c r="N85">
        <v>3</v>
      </c>
      <c r="O85">
        <v>2</v>
      </c>
    </row>
    <row r="86" spans="7:15">
      <c r="G86">
        <v>1</v>
      </c>
      <c r="H86">
        <v>8</v>
      </c>
      <c r="N86">
        <v>4</v>
      </c>
      <c r="O86">
        <v>3</v>
      </c>
    </row>
    <row r="87" spans="7:15">
      <c r="G87">
        <v>11</v>
      </c>
      <c r="H87">
        <v>9</v>
      </c>
      <c r="N87">
        <v>3</v>
      </c>
      <c r="O87">
        <v>3</v>
      </c>
    </row>
    <row r="88" spans="7:15">
      <c r="G88">
        <v>3</v>
      </c>
      <c r="H88">
        <v>2</v>
      </c>
      <c r="N88">
        <v>5</v>
      </c>
      <c r="O88">
        <v>5</v>
      </c>
    </row>
    <row r="89" spans="7:15">
      <c r="G89">
        <v>14</v>
      </c>
      <c r="H89">
        <v>9</v>
      </c>
      <c r="N89">
        <v>6</v>
      </c>
      <c r="O89">
        <v>1</v>
      </c>
    </row>
    <row r="90" spans="7:15">
      <c r="G90">
        <v>4</v>
      </c>
      <c r="H90">
        <v>3</v>
      </c>
      <c r="N90">
        <v>3</v>
      </c>
      <c r="O90">
        <v>4</v>
      </c>
    </row>
    <row r="91" spans="7:15">
      <c r="G91">
        <v>2</v>
      </c>
      <c r="H91">
        <v>3</v>
      </c>
      <c r="N91">
        <v>1</v>
      </c>
      <c r="O91">
        <v>1</v>
      </c>
    </row>
    <row r="92" spans="7:15">
      <c r="G92">
        <v>1</v>
      </c>
      <c r="H92">
        <v>13</v>
      </c>
      <c r="N92">
        <v>5</v>
      </c>
      <c r="O92">
        <v>4</v>
      </c>
    </row>
    <row r="93" spans="7:15">
      <c r="H93">
        <v>3</v>
      </c>
      <c r="N93">
        <v>5</v>
      </c>
      <c r="O93">
        <v>3</v>
      </c>
    </row>
    <row r="94" spans="7:15">
      <c r="H94">
        <v>10</v>
      </c>
      <c r="N94">
        <v>4</v>
      </c>
      <c r="O94">
        <v>2</v>
      </c>
    </row>
    <row r="95" spans="7:15">
      <c r="H95">
        <v>12</v>
      </c>
      <c r="N95">
        <v>2</v>
      </c>
      <c r="O95">
        <v>4</v>
      </c>
    </row>
    <row r="96" spans="7:15">
      <c r="H96">
        <v>13</v>
      </c>
      <c r="N96">
        <v>2</v>
      </c>
      <c r="O96">
        <v>4</v>
      </c>
    </row>
    <row r="97" spans="8:15">
      <c r="H97">
        <v>12</v>
      </c>
      <c r="N97">
        <v>2</v>
      </c>
      <c r="O97">
        <v>1</v>
      </c>
    </row>
    <row r="98" spans="8:15">
      <c r="H98">
        <v>12</v>
      </c>
      <c r="N98">
        <v>3</v>
      </c>
      <c r="O98">
        <v>3</v>
      </c>
    </row>
    <row r="99" spans="8:15">
      <c r="H99">
        <v>1</v>
      </c>
      <c r="N99">
        <v>3</v>
      </c>
      <c r="O99">
        <v>4</v>
      </c>
    </row>
    <row r="100" spans="8:15">
      <c r="H100">
        <v>7</v>
      </c>
      <c r="N100">
        <v>4</v>
      </c>
      <c r="O100">
        <v>1</v>
      </c>
    </row>
    <row r="101" spans="8:15">
      <c r="H101">
        <v>8</v>
      </c>
      <c r="N101">
        <v>4</v>
      </c>
      <c r="O101">
        <v>5</v>
      </c>
    </row>
    <row r="102" spans="8:15">
      <c r="H102">
        <v>12</v>
      </c>
      <c r="N102">
        <v>3</v>
      </c>
      <c r="O102">
        <v>1</v>
      </c>
    </row>
    <row r="103" spans="8:15">
      <c r="H103">
        <v>7</v>
      </c>
      <c r="N103">
        <v>2</v>
      </c>
      <c r="O103">
        <v>1</v>
      </c>
    </row>
    <row r="104" spans="8:15">
      <c r="H104">
        <v>2</v>
      </c>
      <c r="N104">
        <v>4</v>
      </c>
      <c r="O104">
        <v>1</v>
      </c>
    </row>
    <row r="105" spans="8:15">
      <c r="H105">
        <v>8</v>
      </c>
      <c r="N105">
        <v>5</v>
      </c>
      <c r="O105">
        <v>4</v>
      </c>
    </row>
    <row r="106" spans="8:15">
      <c r="H106">
        <v>4</v>
      </c>
      <c r="N106">
        <v>2</v>
      </c>
      <c r="O106">
        <v>2</v>
      </c>
    </row>
    <row r="107" spans="8:15">
      <c r="H107">
        <v>9</v>
      </c>
      <c r="N107">
        <v>3</v>
      </c>
      <c r="O107">
        <v>4</v>
      </c>
    </row>
    <row r="108" spans="8:15">
      <c r="H108">
        <v>4</v>
      </c>
      <c r="N108">
        <v>5</v>
      </c>
      <c r="O108">
        <v>4</v>
      </c>
    </row>
    <row r="109" spans="8:15">
      <c r="H109">
        <v>10</v>
      </c>
      <c r="N109">
        <v>2</v>
      </c>
      <c r="O109">
        <v>3</v>
      </c>
    </row>
    <row r="110" spans="8:15">
      <c r="H110">
        <v>15</v>
      </c>
      <c r="N110">
        <v>4</v>
      </c>
      <c r="O110">
        <v>3</v>
      </c>
    </row>
    <row r="111" spans="8:15">
      <c r="H111">
        <v>3</v>
      </c>
      <c r="N111">
        <v>4</v>
      </c>
      <c r="O111">
        <v>5</v>
      </c>
    </row>
    <row r="112" spans="8:15">
      <c r="H112">
        <v>5</v>
      </c>
      <c r="N112">
        <v>1</v>
      </c>
      <c r="O112">
        <v>3</v>
      </c>
    </row>
    <row r="113" spans="8:15">
      <c r="H113">
        <v>8</v>
      </c>
      <c r="N113">
        <v>3</v>
      </c>
      <c r="O113">
        <v>5</v>
      </c>
    </row>
    <row r="114" spans="8:15">
      <c r="H114">
        <v>5</v>
      </c>
      <c r="N114">
        <v>5</v>
      </c>
      <c r="O114">
        <v>1</v>
      </c>
    </row>
    <row r="115" spans="8:15">
      <c r="H115">
        <v>3</v>
      </c>
      <c r="N115">
        <v>3</v>
      </c>
      <c r="O115">
        <v>2</v>
      </c>
    </row>
    <row r="116" spans="8:15">
      <c r="H116">
        <v>13</v>
      </c>
      <c r="N116">
        <v>3</v>
      </c>
      <c r="O116">
        <v>2</v>
      </c>
    </row>
    <row r="117" spans="8:15">
      <c r="H117">
        <v>12</v>
      </c>
      <c r="N117">
        <v>2</v>
      </c>
      <c r="O117">
        <v>1</v>
      </c>
    </row>
    <row r="118" spans="8:15">
      <c r="H118">
        <v>14</v>
      </c>
      <c r="N118">
        <v>4</v>
      </c>
      <c r="O118">
        <v>3</v>
      </c>
    </row>
    <row r="119" spans="8:15">
      <c r="H119">
        <v>10</v>
      </c>
      <c r="N119">
        <v>1</v>
      </c>
      <c r="O119">
        <v>5</v>
      </c>
    </row>
    <row r="120" spans="8:15">
      <c r="H120">
        <v>2</v>
      </c>
      <c r="N120">
        <v>2</v>
      </c>
      <c r="O120">
        <v>1</v>
      </c>
    </row>
    <row r="121" spans="8:15">
      <c r="H121">
        <v>12</v>
      </c>
      <c r="N121">
        <v>5</v>
      </c>
      <c r="O121">
        <v>2</v>
      </c>
    </row>
    <row r="122" spans="8:15">
      <c r="H122">
        <v>3</v>
      </c>
      <c r="N122">
        <v>4</v>
      </c>
      <c r="O122">
        <v>2</v>
      </c>
    </row>
    <row r="123" spans="8:15">
      <c r="H123">
        <v>14</v>
      </c>
      <c r="N123">
        <v>5</v>
      </c>
      <c r="O123">
        <v>4</v>
      </c>
    </row>
    <row r="124" spans="8:15">
      <c r="H124">
        <v>8</v>
      </c>
      <c r="N124">
        <v>1</v>
      </c>
      <c r="O124">
        <v>2</v>
      </c>
    </row>
    <row r="125" spans="8:15">
      <c r="H125">
        <v>9</v>
      </c>
      <c r="N125">
        <v>4</v>
      </c>
      <c r="O125">
        <v>4</v>
      </c>
    </row>
    <row r="126" spans="8:15">
      <c r="H126">
        <v>10</v>
      </c>
      <c r="N126">
        <v>5</v>
      </c>
      <c r="O126">
        <v>3</v>
      </c>
    </row>
    <row r="127" spans="8:15">
      <c r="H127">
        <v>6</v>
      </c>
      <c r="N127">
        <v>5</v>
      </c>
      <c r="O127">
        <v>5</v>
      </c>
    </row>
    <row r="128" spans="8:15">
      <c r="H128">
        <v>9</v>
      </c>
      <c r="N128">
        <v>1</v>
      </c>
      <c r="O128">
        <v>5</v>
      </c>
    </row>
    <row r="129" spans="8:15">
      <c r="H129">
        <v>14</v>
      </c>
      <c r="N129">
        <v>4</v>
      </c>
      <c r="O129">
        <v>2</v>
      </c>
    </row>
    <row r="130" spans="8:15">
      <c r="H130">
        <v>8</v>
      </c>
      <c r="N130">
        <v>1</v>
      </c>
      <c r="O130">
        <v>1</v>
      </c>
    </row>
    <row r="131" spans="8:15">
      <c r="H131">
        <v>12</v>
      </c>
      <c r="N131">
        <v>1</v>
      </c>
      <c r="O131">
        <v>4</v>
      </c>
    </row>
    <row r="132" spans="8:15">
      <c r="H132">
        <v>5</v>
      </c>
      <c r="N132">
        <v>1</v>
      </c>
      <c r="O132">
        <v>5</v>
      </c>
    </row>
    <row r="133" spans="8:15">
      <c r="H133">
        <v>1</v>
      </c>
      <c r="N133">
        <v>5</v>
      </c>
      <c r="O133">
        <v>2</v>
      </c>
    </row>
    <row r="134" spans="8:15">
      <c r="H134">
        <v>11</v>
      </c>
      <c r="N134">
        <v>5</v>
      </c>
      <c r="O134">
        <v>1</v>
      </c>
    </row>
    <row r="135" spans="8:15">
      <c r="H135">
        <v>3</v>
      </c>
      <c r="N135">
        <v>5</v>
      </c>
      <c r="O135">
        <v>4</v>
      </c>
    </row>
    <row r="136" spans="8:15">
      <c r="H136">
        <v>10</v>
      </c>
      <c r="N136">
        <v>3</v>
      </c>
      <c r="O136">
        <v>5</v>
      </c>
    </row>
    <row r="137" spans="8:15">
      <c r="H137">
        <v>3</v>
      </c>
      <c r="N137">
        <v>3</v>
      </c>
      <c r="O137">
        <v>3</v>
      </c>
    </row>
    <row r="138" spans="8:15">
      <c r="H138">
        <v>14</v>
      </c>
      <c r="N138">
        <v>2</v>
      </c>
      <c r="O138">
        <v>5</v>
      </c>
    </row>
    <row r="139" spans="8:15">
      <c r="H139">
        <v>3</v>
      </c>
      <c r="N139">
        <v>2</v>
      </c>
      <c r="O139">
        <v>5</v>
      </c>
    </row>
    <row r="140" spans="8:15">
      <c r="H140">
        <v>10</v>
      </c>
      <c r="N140">
        <v>4</v>
      </c>
      <c r="O140">
        <v>4</v>
      </c>
    </row>
    <row r="141" spans="8:15">
      <c r="H141">
        <v>2</v>
      </c>
      <c r="N141">
        <v>1</v>
      </c>
    </row>
    <row r="142" spans="8:15">
      <c r="H142">
        <v>3</v>
      </c>
      <c r="N142">
        <v>4</v>
      </c>
    </row>
    <row r="143" spans="8:15">
      <c r="N143">
        <v>3</v>
      </c>
    </row>
    <row r="144" spans="8:15">
      <c r="N144">
        <v>1</v>
      </c>
    </row>
    <row r="145" spans="14:14">
      <c r="N145">
        <v>5</v>
      </c>
    </row>
    <row r="146" spans="14:14">
      <c r="N146">
        <v>3</v>
      </c>
    </row>
    <row r="147" spans="14:14">
      <c r="N147">
        <v>1</v>
      </c>
    </row>
    <row r="148" spans="14:14">
      <c r="N148">
        <v>4</v>
      </c>
    </row>
    <row r="149" spans="14:14">
      <c r="N149">
        <v>5</v>
      </c>
    </row>
    <row r="150" spans="14:14">
      <c r="N150">
        <v>1</v>
      </c>
    </row>
    <row r="151" spans="14:14">
      <c r="N151">
        <v>4</v>
      </c>
    </row>
    <row r="152" spans="14:14">
      <c r="N152">
        <v>3</v>
      </c>
    </row>
    <row r="153" spans="14:14">
      <c r="N153">
        <v>2</v>
      </c>
    </row>
    <row r="154" spans="14:14">
      <c r="N154">
        <v>1</v>
      </c>
    </row>
    <row r="155" spans="14:14">
      <c r="N155">
        <v>4</v>
      </c>
    </row>
    <row r="156" spans="14:14">
      <c r="N156">
        <v>2</v>
      </c>
    </row>
    <row r="157" spans="14:14">
      <c r="N157">
        <v>2</v>
      </c>
    </row>
    <row r="158" spans="14:14">
      <c r="N158">
        <v>1</v>
      </c>
    </row>
    <row r="159" spans="14:14">
      <c r="N159">
        <v>5</v>
      </c>
    </row>
    <row r="160" spans="14:14">
      <c r="N160">
        <v>2</v>
      </c>
    </row>
    <row r="161" spans="14:14">
      <c r="N161">
        <v>3</v>
      </c>
    </row>
    <row r="162" spans="14:14">
      <c r="N162">
        <v>2</v>
      </c>
    </row>
    <row r="163" spans="14:14">
      <c r="N163">
        <v>3</v>
      </c>
    </row>
    <row r="164" spans="14:14">
      <c r="N164">
        <v>8</v>
      </c>
    </row>
  </sheetData>
  <mergeCells count="5">
    <mergeCell ref="B7:D15"/>
    <mergeCell ref="K7:L15"/>
    <mergeCell ref="K1:L1"/>
    <mergeCell ref="N1:O1"/>
    <mergeCell ref="F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C3F8-761F-47F4-94A5-F16E412B871D}">
  <dimension ref="A1:J182"/>
  <sheetViews>
    <sheetView zoomScale="85" zoomScaleNormal="85" workbookViewId="0">
      <selection activeCell="E26" sqref="E26"/>
    </sheetView>
  </sheetViews>
  <sheetFormatPr defaultRowHeight="14.4"/>
  <cols>
    <col min="1" max="1" width="17.33203125" bestFit="1" customWidth="1"/>
    <col min="8" max="8" width="9.77734375" customWidth="1"/>
    <col min="13" max="13" width="8.77734375" customWidth="1"/>
  </cols>
  <sheetData>
    <row r="1" spans="1:10">
      <c r="B1" s="34" t="s">
        <v>365</v>
      </c>
      <c r="C1" s="34"/>
      <c r="D1" s="34"/>
      <c r="E1" s="34"/>
      <c r="G1" s="34" t="s">
        <v>365</v>
      </c>
      <c r="H1" s="34"/>
      <c r="I1" s="34"/>
      <c r="J1" s="34"/>
    </row>
    <row r="2" spans="1:10">
      <c r="A2" t="s">
        <v>391</v>
      </c>
      <c r="B2" t="s">
        <v>373</v>
      </c>
      <c r="C2" t="s">
        <v>377</v>
      </c>
      <c r="D2" t="s">
        <v>375</v>
      </c>
      <c r="E2" t="s">
        <v>395</v>
      </c>
      <c r="G2" t="s">
        <v>373</v>
      </c>
      <c r="H2" t="s">
        <v>377</v>
      </c>
      <c r="I2" t="s">
        <v>375</v>
      </c>
      <c r="J2" t="s">
        <v>395</v>
      </c>
    </row>
    <row r="3" spans="1:10">
      <c r="A3" t="s">
        <v>392</v>
      </c>
      <c r="B3">
        <f>MAX(G:G)-MIN(G:G)</f>
        <v>9</v>
      </c>
      <c r="C3">
        <f>MAX(H:H)-MIN(H:H)</f>
        <v>9</v>
      </c>
      <c r="D3">
        <f>MAX(I:I)-MIN(I:I)</f>
        <v>8</v>
      </c>
      <c r="E3">
        <f>MAX(J:J)-MIN(J:J)</f>
        <v>8</v>
      </c>
      <c r="G3">
        <v>9</v>
      </c>
      <c r="H3">
        <v>8</v>
      </c>
      <c r="I3">
        <v>9</v>
      </c>
      <c r="J3">
        <v>2</v>
      </c>
    </row>
    <row r="4" spans="1:10">
      <c r="A4" t="s">
        <v>393</v>
      </c>
      <c r="B4" s="3">
        <f>_xlfn.VAR.S(G:G)</f>
        <v>6.0670391061452511</v>
      </c>
      <c r="C4" s="3">
        <f>_xlfn.VAR.S(H:H)</f>
        <v>6.7470270270270234</v>
      </c>
      <c r="D4" s="3">
        <f>_xlfn.VAR.S(I:I)</f>
        <v>4.990927419354839</v>
      </c>
      <c r="E4" s="3">
        <f>_xlfn.VAR.S(J:J)</f>
        <v>5.7692307692307736</v>
      </c>
      <c r="G4">
        <v>10</v>
      </c>
      <c r="H4">
        <v>9</v>
      </c>
      <c r="I4">
        <v>7</v>
      </c>
      <c r="J4">
        <v>9</v>
      </c>
    </row>
    <row r="5" spans="1:10">
      <c r="A5" t="s">
        <v>394</v>
      </c>
      <c r="B5" s="3">
        <f>_xlfn.STDEV.S(G:G)</f>
        <v>2.4631360307837751</v>
      </c>
      <c r="C5" s="3">
        <f>_xlfn.STDEV.S(H:H)</f>
        <v>2.5975039994246445</v>
      </c>
      <c r="D5" s="3">
        <f>STDEV(I:I)</f>
        <v>2.2340383656855223</v>
      </c>
      <c r="E5" s="3">
        <f>_xlfn.STDEV.S(J:J)</f>
        <v>2.4019223070763078</v>
      </c>
      <c r="G5">
        <v>10</v>
      </c>
      <c r="H5">
        <v>10</v>
      </c>
      <c r="I5">
        <v>10</v>
      </c>
      <c r="J5">
        <v>6</v>
      </c>
    </row>
    <row r="6" spans="1:10">
      <c r="G6">
        <v>9</v>
      </c>
      <c r="H6">
        <v>10</v>
      </c>
      <c r="I6">
        <v>8</v>
      </c>
      <c r="J6">
        <v>5</v>
      </c>
    </row>
    <row r="7" spans="1:10">
      <c r="G7">
        <v>8</v>
      </c>
      <c r="H7">
        <v>9</v>
      </c>
      <c r="I7">
        <v>9</v>
      </c>
      <c r="J7">
        <v>9</v>
      </c>
    </row>
    <row r="8" spans="1:10">
      <c r="G8">
        <v>8</v>
      </c>
      <c r="H8">
        <v>9</v>
      </c>
      <c r="I8">
        <v>10</v>
      </c>
      <c r="J8">
        <v>9</v>
      </c>
    </row>
    <row r="9" spans="1:10">
      <c r="G9">
        <v>10</v>
      </c>
      <c r="H9">
        <v>8</v>
      </c>
      <c r="I9">
        <v>9</v>
      </c>
      <c r="J9">
        <v>6</v>
      </c>
    </row>
    <row r="10" spans="1:10">
      <c r="B10" s="3"/>
      <c r="C10" s="3"/>
      <c r="D10" s="3"/>
      <c r="E10" s="3"/>
      <c r="G10">
        <v>8</v>
      </c>
      <c r="H10">
        <v>7</v>
      </c>
      <c r="I10">
        <v>8</v>
      </c>
      <c r="J10">
        <v>5</v>
      </c>
    </row>
    <row r="11" spans="1:10">
      <c r="B11" s="3"/>
      <c r="C11" s="3"/>
      <c r="D11" s="3"/>
      <c r="E11" s="3"/>
      <c r="G11">
        <v>9</v>
      </c>
      <c r="H11">
        <v>6</v>
      </c>
      <c r="I11">
        <v>10</v>
      </c>
      <c r="J11">
        <v>9</v>
      </c>
    </row>
    <row r="12" spans="1:10">
      <c r="G12">
        <v>10</v>
      </c>
      <c r="H12">
        <v>9</v>
      </c>
      <c r="I12">
        <v>10</v>
      </c>
      <c r="J12">
        <v>9</v>
      </c>
    </row>
    <row r="13" spans="1:10">
      <c r="G13">
        <v>9</v>
      </c>
      <c r="H13">
        <v>9</v>
      </c>
      <c r="I13">
        <v>10</v>
      </c>
      <c r="J13">
        <v>9</v>
      </c>
    </row>
    <row r="14" spans="1:10">
      <c r="G14">
        <v>10</v>
      </c>
      <c r="H14">
        <v>9</v>
      </c>
      <c r="I14">
        <v>6</v>
      </c>
      <c r="J14">
        <v>9</v>
      </c>
    </row>
    <row r="15" spans="1:10">
      <c r="G15">
        <v>10</v>
      </c>
      <c r="H15">
        <v>8</v>
      </c>
      <c r="I15">
        <v>9</v>
      </c>
      <c r="J15">
        <v>10</v>
      </c>
    </row>
    <row r="16" spans="1:10">
      <c r="G16">
        <v>9</v>
      </c>
      <c r="H16">
        <v>9</v>
      </c>
      <c r="I16">
        <v>8</v>
      </c>
    </row>
    <row r="17" spans="7:9">
      <c r="G17">
        <v>10</v>
      </c>
      <c r="H17">
        <v>8</v>
      </c>
      <c r="I17">
        <v>10</v>
      </c>
    </row>
    <row r="18" spans="7:9">
      <c r="G18">
        <v>9</v>
      </c>
      <c r="H18">
        <v>8</v>
      </c>
      <c r="I18">
        <v>10</v>
      </c>
    </row>
    <row r="19" spans="7:9">
      <c r="G19">
        <v>9</v>
      </c>
      <c r="H19">
        <v>9</v>
      </c>
      <c r="I19">
        <v>4</v>
      </c>
    </row>
    <row r="20" spans="7:9">
      <c r="G20">
        <v>9</v>
      </c>
      <c r="H20">
        <v>10</v>
      </c>
      <c r="I20">
        <v>6</v>
      </c>
    </row>
    <row r="21" spans="7:9">
      <c r="G21">
        <v>10</v>
      </c>
      <c r="H21">
        <v>9</v>
      </c>
      <c r="I21">
        <v>9</v>
      </c>
    </row>
    <row r="22" spans="7:9">
      <c r="G22">
        <v>9</v>
      </c>
      <c r="H22">
        <v>9</v>
      </c>
      <c r="I22">
        <v>5</v>
      </c>
    </row>
    <row r="23" spans="7:9">
      <c r="G23">
        <v>8</v>
      </c>
      <c r="H23">
        <v>9</v>
      </c>
      <c r="I23">
        <v>9</v>
      </c>
    </row>
    <row r="24" spans="7:9">
      <c r="G24">
        <v>4</v>
      </c>
      <c r="H24">
        <v>10</v>
      </c>
      <c r="I24">
        <v>9</v>
      </c>
    </row>
    <row r="25" spans="7:9">
      <c r="G25">
        <v>7</v>
      </c>
      <c r="H25">
        <v>9</v>
      </c>
      <c r="I25">
        <v>2</v>
      </c>
    </row>
    <row r="26" spans="7:9">
      <c r="G26">
        <v>5</v>
      </c>
      <c r="H26">
        <v>4</v>
      </c>
      <c r="I26">
        <v>2</v>
      </c>
    </row>
    <row r="27" spans="7:9">
      <c r="G27">
        <v>4</v>
      </c>
      <c r="H27">
        <v>9</v>
      </c>
      <c r="I27">
        <v>9</v>
      </c>
    </row>
    <row r="28" spans="7:9">
      <c r="G28">
        <v>9</v>
      </c>
      <c r="H28">
        <v>10</v>
      </c>
      <c r="I28">
        <v>9</v>
      </c>
    </row>
    <row r="29" spans="7:9">
      <c r="G29">
        <v>9</v>
      </c>
      <c r="H29">
        <v>6</v>
      </c>
      <c r="I29">
        <v>10</v>
      </c>
    </row>
    <row r="30" spans="7:9">
      <c r="G30">
        <v>4</v>
      </c>
      <c r="H30">
        <v>6</v>
      </c>
      <c r="I30">
        <v>10</v>
      </c>
    </row>
    <row r="31" spans="7:9">
      <c r="G31">
        <v>9</v>
      </c>
      <c r="H31">
        <v>4</v>
      </c>
      <c r="I31">
        <v>7</v>
      </c>
    </row>
    <row r="32" spans="7:9">
      <c r="G32">
        <v>2</v>
      </c>
      <c r="H32">
        <v>1</v>
      </c>
      <c r="I32">
        <v>9</v>
      </c>
    </row>
    <row r="33" spans="7:9">
      <c r="G33">
        <v>3</v>
      </c>
      <c r="H33">
        <v>1</v>
      </c>
      <c r="I33">
        <v>9</v>
      </c>
    </row>
    <row r="34" spans="7:9">
      <c r="G34">
        <v>9</v>
      </c>
      <c r="H34">
        <v>4</v>
      </c>
      <c r="I34">
        <v>7</v>
      </c>
    </row>
    <row r="35" spans="7:9">
      <c r="G35">
        <v>1</v>
      </c>
      <c r="H35">
        <v>9</v>
      </c>
    </row>
    <row r="36" spans="7:9">
      <c r="G36">
        <v>8</v>
      </c>
      <c r="H36">
        <v>10</v>
      </c>
    </row>
    <row r="37" spans="7:9">
      <c r="G37">
        <v>9</v>
      </c>
      <c r="H37">
        <v>7</v>
      </c>
    </row>
    <row r="38" spans="7:9">
      <c r="G38">
        <v>10</v>
      </c>
      <c r="H38">
        <v>10</v>
      </c>
    </row>
    <row r="39" spans="7:9">
      <c r="G39">
        <v>6</v>
      </c>
      <c r="H39">
        <v>1</v>
      </c>
    </row>
    <row r="40" spans="7:9">
      <c r="G40">
        <v>9</v>
      </c>
      <c r="H40">
        <v>4</v>
      </c>
    </row>
    <row r="41" spans="7:9">
      <c r="G41">
        <v>3</v>
      </c>
      <c r="H41">
        <v>9</v>
      </c>
    </row>
    <row r="42" spans="7:9">
      <c r="G42">
        <v>9</v>
      </c>
      <c r="H42">
        <v>9</v>
      </c>
    </row>
    <row r="43" spans="7:9">
      <c r="G43">
        <v>9</v>
      </c>
      <c r="H43">
        <v>9</v>
      </c>
    </row>
    <row r="44" spans="7:9">
      <c r="G44">
        <v>9</v>
      </c>
      <c r="H44">
        <v>8</v>
      </c>
    </row>
    <row r="45" spans="7:9">
      <c r="G45">
        <v>9</v>
      </c>
      <c r="H45">
        <v>9</v>
      </c>
    </row>
    <row r="46" spans="7:9">
      <c r="G46">
        <v>8</v>
      </c>
      <c r="H46">
        <v>10</v>
      </c>
    </row>
    <row r="47" spans="7:9">
      <c r="G47">
        <v>10</v>
      </c>
      <c r="H47">
        <v>9</v>
      </c>
    </row>
    <row r="48" spans="7:9">
      <c r="G48">
        <v>9</v>
      </c>
      <c r="H48">
        <v>9</v>
      </c>
    </row>
    <row r="49" spans="7:8">
      <c r="G49">
        <v>9</v>
      </c>
      <c r="H49">
        <v>9</v>
      </c>
    </row>
    <row r="50" spans="7:8">
      <c r="G50">
        <v>6</v>
      </c>
      <c r="H50">
        <v>8</v>
      </c>
    </row>
    <row r="51" spans="7:8">
      <c r="G51">
        <v>9</v>
      </c>
      <c r="H51">
        <v>10</v>
      </c>
    </row>
    <row r="52" spans="7:8">
      <c r="G52">
        <v>9</v>
      </c>
      <c r="H52">
        <v>10</v>
      </c>
    </row>
    <row r="53" spans="7:8">
      <c r="G53">
        <v>10</v>
      </c>
      <c r="H53">
        <v>9</v>
      </c>
    </row>
    <row r="54" spans="7:8">
      <c r="G54">
        <v>9</v>
      </c>
      <c r="H54">
        <v>6</v>
      </c>
    </row>
    <row r="55" spans="7:8">
      <c r="G55">
        <v>8</v>
      </c>
      <c r="H55">
        <v>7</v>
      </c>
    </row>
    <row r="56" spans="7:8">
      <c r="G56">
        <v>8</v>
      </c>
      <c r="H56">
        <v>4</v>
      </c>
    </row>
    <row r="57" spans="7:8">
      <c r="G57">
        <v>4</v>
      </c>
      <c r="H57">
        <v>9</v>
      </c>
    </row>
    <row r="58" spans="7:8">
      <c r="G58">
        <v>2</v>
      </c>
      <c r="H58">
        <v>5</v>
      </c>
    </row>
    <row r="59" spans="7:8">
      <c r="G59">
        <v>5</v>
      </c>
      <c r="H59">
        <v>9</v>
      </c>
    </row>
    <row r="60" spans="7:8">
      <c r="G60">
        <v>2</v>
      </c>
      <c r="H60">
        <v>10</v>
      </c>
    </row>
    <row r="61" spans="7:8">
      <c r="G61">
        <v>10</v>
      </c>
      <c r="H61">
        <v>8</v>
      </c>
    </row>
    <row r="62" spans="7:8">
      <c r="G62">
        <v>10</v>
      </c>
      <c r="H62">
        <v>9</v>
      </c>
    </row>
    <row r="63" spans="7:8">
      <c r="G63">
        <v>5</v>
      </c>
      <c r="H63">
        <v>1</v>
      </c>
    </row>
    <row r="64" spans="7:8">
      <c r="G64">
        <v>10</v>
      </c>
      <c r="H64">
        <v>2</v>
      </c>
    </row>
    <row r="65" spans="7:8">
      <c r="G65">
        <v>9</v>
      </c>
      <c r="H65">
        <v>9</v>
      </c>
    </row>
    <row r="66" spans="7:8">
      <c r="G66">
        <v>10</v>
      </c>
      <c r="H66">
        <v>9</v>
      </c>
    </row>
    <row r="67" spans="7:8">
      <c r="G67">
        <v>1</v>
      </c>
      <c r="H67">
        <v>8</v>
      </c>
    </row>
    <row r="68" spans="7:8">
      <c r="G68">
        <v>9</v>
      </c>
      <c r="H68">
        <v>9</v>
      </c>
    </row>
    <row r="69" spans="7:8">
      <c r="G69">
        <v>10</v>
      </c>
      <c r="H69">
        <v>8</v>
      </c>
    </row>
    <row r="70" spans="7:8">
      <c r="G70">
        <v>5</v>
      </c>
      <c r="H70">
        <v>9</v>
      </c>
    </row>
    <row r="71" spans="7:8">
      <c r="G71">
        <v>9</v>
      </c>
      <c r="H71">
        <v>9</v>
      </c>
    </row>
    <row r="72" spans="7:8">
      <c r="G72">
        <v>3</v>
      </c>
      <c r="H72">
        <v>1</v>
      </c>
    </row>
    <row r="73" spans="7:8">
      <c r="G73">
        <v>8</v>
      </c>
      <c r="H73">
        <v>2</v>
      </c>
    </row>
    <row r="74" spans="7:8">
      <c r="G74">
        <v>8</v>
      </c>
      <c r="H74">
        <v>6</v>
      </c>
    </row>
    <row r="75" spans="7:8">
      <c r="G75">
        <v>8</v>
      </c>
      <c r="H75">
        <v>9</v>
      </c>
    </row>
    <row r="76" spans="7:8">
      <c r="G76">
        <v>9</v>
      </c>
      <c r="H76">
        <v>9</v>
      </c>
    </row>
    <row r="77" spans="7:8">
      <c r="G77">
        <v>4</v>
      </c>
      <c r="H77">
        <v>10</v>
      </c>
    </row>
    <row r="78" spans="7:8">
      <c r="G78">
        <v>8</v>
      </c>
    </row>
    <row r="79" spans="7:8">
      <c r="G79">
        <v>2</v>
      </c>
    </row>
    <row r="80" spans="7:8">
      <c r="G80">
        <v>3</v>
      </c>
    </row>
    <row r="81" spans="7:7">
      <c r="G81">
        <v>10</v>
      </c>
    </row>
    <row r="82" spans="7:7">
      <c r="G82">
        <v>8</v>
      </c>
    </row>
    <row r="83" spans="7:7">
      <c r="G83">
        <v>9</v>
      </c>
    </row>
    <row r="84" spans="7:7">
      <c r="G84">
        <v>10</v>
      </c>
    </row>
    <row r="85" spans="7:7">
      <c r="G85">
        <v>8</v>
      </c>
    </row>
    <row r="86" spans="7:7">
      <c r="G86">
        <v>8</v>
      </c>
    </row>
    <row r="87" spans="7:7">
      <c r="G87">
        <v>7</v>
      </c>
    </row>
    <row r="88" spans="7:7">
      <c r="G88">
        <v>8</v>
      </c>
    </row>
    <row r="89" spans="7:7">
      <c r="G89">
        <v>9</v>
      </c>
    </row>
    <row r="90" spans="7:7">
      <c r="G90">
        <v>9</v>
      </c>
    </row>
    <row r="91" spans="7:7">
      <c r="G91">
        <v>9</v>
      </c>
    </row>
    <row r="92" spans="7:7">
      <c r="G92">
        <v>10</v>
      </c>
    </row>
    <row r="93" spans="7:7">
      <c r="G93">
        <v>7</v>
      </c>
    </row>
    <row r="94" spans="7:7">
      <c r="G94">
        <v>9</v>
      </c>
    </row>
    <row r="95" spans="7:7">
      <c r="G95">
        <v>5</v>
      </c>
    </row>
    <row r="96" spans="7:7">
      <c r="G96">
        <v>9</v>
      </c>
    </row>
    <row r="97" spans="7:7">
      <c r="G97">
        <v>4</v>
      </c>
    </row>
    <row r="98" spans="7:7">
      <c r="G98">
        <v>5</v>
      </c>
    </row>
    <row r="99" spans="7:7">
      <c r="G99">
        <v>9</v>
      </c>
    </row>
    <row r="100" spans="7:7">
      <c r="G100">
        <v>9</v>
      </c>
    </row>
    <row r="101" spans="7:7">
      <c r="G101">
        <v>8</v>
      </c>
    </row>
    <row r="102" spans="7:7">
      <c r="G102">
        <v>9</v>
      </c>
    </row>
    <row r="103" spans="7:7">
      <c r="G103">
        <v>1</v>
      </c>
    </row>
    <row r="104" spans="7:7">
      <c r="G104">
        <v>3</v>
      </c>
    </row>
    <row r="105" spans="7:7">
      <c r="G105">
        <v>9</v>
      </c>
    </row>
    <row r="106" spans="7:7">
      <c r="G106">
        <v>4</v>
      </c>
    </row>
    <row r="107" spans="7:7">
      <c r="G107">
        <v>9</v>
      </c>
    </row>
    <row r="108" spans="7:7">
      <c r="G108">
        <v>8</v>
      </c>
    </row>
    <row r="109" spans="7:7">
      <c r="G109">
        <v>4</v>
      </c>
    </row>
    <row r="110" spans="7:7">
      <c r="G110">
        <v>6</v>
      </c>
    </row>
    <row r="111" spans="7:7">
      <c r="G111">
        <v>9</v>
      </c>
    </row>
    <row r="112" spans="7:7">
      <c r="G112">
        <v>10</v>
      </c>
    </row>
    <row r="113" spans="7:7">
      <c r="G113">
        <v>10</v>
      </c>
    </row>
    <row r="114" spans="7:7">
      <c r="G114">
        <v>8</v>
      </c>
    </row>
    <row r="115" spans="7:7">
      <c r="G115">
        <v>9</v>
      </c>
    </row>
    <row r="116" spans="7:7">
      <c r="G116">
        <v>8</v>
      </c>
    </row>
    <row r="117" spans="7:7">
      <c r="G117">
        <v>8</v>
      </c>
    </row>
    <row r="118" spans="7:7">
      <c r="G118">
        <v>7</v>
      </c>
    </row>
    <row r="119" spans="7:7">
      <c r="G119">
        <v>9</v>
      </c>
    </row>
    <row r="120" spans="7:7">
      <c r="G120">
        <v>9</v>
      </c>
    </row>
    <row r="121" spans="7:7">
      <c r="G121">
        <v>9</v>
      </c>
    </row>
    <row r="122" spans="7:7">
      <c r="G122">
        <v>10</v>
      </c>
    </row>
    <row r="123" spans="7:7">
      <c r="G123">
        <v>10</v>
      </c>
    </row>
    <row r="124" spans="7:7">
      <c r="G124">
        <v>10</v>
      </c>
    </row>
    <row r="125" spans="7:7">
      <c r="G125">
        <v>7</v>
      </c>
    </row>
    <row r="126" spans="7:7">
      <c r="G126">
        <v>9</v>
      </c>
    </row>
    <row r="127" spans="7:7">
      <c r="G127">
        <v>9</v>
      </c>
    </row>
    <row r="128" spans="7:7">
      <c r="G128">
        <v>1</v>
      </c>
    </row>
    <row r="129" spans="7:7">
      <c r="G129">
        <v>9</v>
      </c>
    </row>
    <row r="130" spans="7:7">
      <c r="G130">
        <v>10</v>
      </c>
    </row>
    <row r="131" spans="7:7">
      <c r="G131">
        <v>6</v>
      </c>
    </row>
    <row r="132" spans="7:7">
      <c r="G132">
        <v>9</v>
      </c>
    </row>
    <row r="133" spans="7:7">
      <c r="G133">
        <v>6</v>
      </c>
    </row>
    <row r="134" spans="7:7">
      <c r="G134">
        <v>2</v>
      </c>
    </row>
    <row r="135" spans="7:7">
      <c r="G135">
        <v>10</v>
      </c>
    </row>
    <row r="136" spans="7:7">
      <c r="G136">
        <v>7</v>
      </c>
    </row>
    <row r="137" spans="7:7">
      <c r="G137">
        <v>9</v>
      </c>
    </row>
    <row r="138" spans="7:7">
      <c r="G138">
        <v>9</v>
      </c>
    </row>
    <row r="139" spans="7:7">
      <c r="G139">
        <v>7</v>
      </c>
    </row>
    <row r="140" spans="7:7">
      <c r="G140">
        <v>4</v>
      </c>
    </row>
    <row r="141" spans="7:7">
      <c r="G141">
        <v>3</v>
      </c>
    </row>
    <row r="142" spans="7:7">
      <c r="G142">
        <v>10</v>
      </c>
    </row>
    <row r="143" spans="7:7">
      <c r="G143">
        <v>5</v>
      </c>
    </row>
    <row r="144" spans="7:7">
      <c r="G144">
        <v>8</v>
      </c>
    </row>
    <row r="145" spans="7:7">
      <c r="G145">
        <v>10</v>
      </c>
    </row>
    <row r="146" spans="7:7">
      <c r="G146">
        <v>9</v>
      </c>
    </row>
    <row r="147" spans="7:7">
      <c r="G147">
        <v>6</v>
      </c>
    </row>
    <row r="148" spans="7:7">
      <c r="G148">
        <v>9</v>
      </c>
    </row>
    <row r="149" spans="7:7">
      <c r="G149">
        <v>9</v>
      </c>
    </row>
    <row r="150" spans="7:7">
      <c r="G150">
        <v>9</v>
      </c>
    </row>
    <row r="151" spans="7:7">
      <c r="G151">
        <v>9</v>
      </c>
    </row>
    <row r="152" spans="7:7">
      <c r="G152">
        <v>9</v>
      </c>
    </row>
    <row r="153" spans="7:7">
      <c r="G153">
        <v>8</v>
      </c>
    </row>
    <row r="154" spans="7:7">
      <c r="G154">
        <v>7</v>
      </c>
    </row>
    <row r="155" spans="7:7">
      <c r="G155">
        <v>10</v>
      </c>
    </row>
    <row r="156" spans="7:7">
      <c r="G156">
        <v>3</v>
      </c>
    </row>
    <row r="157" spans="7:7">
      <c r="G157">
        <v>4</v>
      </c>
    </row>
    <row r="158" spans="7:7">
      <c r="G158">
        <v>9</v>
      </c>
    </row>
    <row r="159" spans="7:7">
      <c r="G159">
        <v>9</v>
      </c>
    </row>
    <row r="160" spans="7:7">
      <c r="G160">
        <v>10</v>
      </c>
    </row>
    <row r="161" spans="7:7">
      <c r="G161">
        <v>10</v>
      </c>
    </row>
    <row r="162" spans="7:7">
      <c r="G162">
        <v>1</v>
      </c>
    </row>
    <row r="163" spans="7:7">
      <c r="G163">
        <v>10</v>
      </c>
    </row>
    <row r="164" spans="7:7">
      <c r="G164">
        <v>2</v>
      </c>
    </row>
    <row r="165" spans="7:7">
      <c r="G165">
        <v>7</v>
      </c>
    </row>
    <row r="166" spans="7:7">
      <c r="G166">
        <v>9</v>
      </c>
    </row>
    <row r="167" spans="7:7">
      <c r="G167">
        <v>10</v>
      </c>
    </row>
    <row r="168" spans="7:7">
      <c r="G168">
        <v>9</v>
      </c>
    </row>
    <row r="169" spans="7:7">
      <c r="G169">
        <v>9</v>
      </c>
    </row>
    <row r="170" spans="7:7">
      <c r="G170">
        <v>7</v>
      </c>
    </row>
    <row r="171" spans="7:7">
      <c r="G171">
        <v>10</v>
      </c>
    </row>
    <row r="172" spans="7:7">
      <c r="G172">
        <v>9</v>
      </c>
    </row>
    <row r="173" spans="7:7">
      <c r="G173">
        <v>8</v>
      </c>
    </row>
    <row r="174" spans="7:7">
      <c r="G174">
        <v>9</v>
      </c>
    </row>
    <row r="175" spans="7:7">
      <c r="G175">
        <v>9</v>
      </c>
    </row>
    <row r="176" spans="7:7">
      <c r="G176">
        <v>7</v>
      </c>
    </row>
    <row r="177" spans="7:7">
      <c r="G177">
        <v>7</v>
      </c>
    </row>
    <row r="178" spans="7:7">
      <c r="G178">
        <v>8</v>
      </c>
    </row>
    <row r="179" spans="7:7">
      <c r="G179">
        <v>9</v>
      </c>
    </row>
    <row r="180" spans="7:7">
      <c r="G180">
        <v>9</v>
      </c>
    </row>
    <row r="181" spans="7:7">
      <c r="G181">
        <v>8</v>
      </c>
    </row>
    <row r="182" spans="7:7">
      <c r="G182">
        <v>5</v>
      </c>
    </row>
  </sheetData>
  <mergeCells count="2">
    <mergeCell ref="B1:E1"/>
    <mergeCell ref="G1:J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F2422-0126-43EB-9C8B-50EC11983CEF}">
  <dimension ref="A1:G28"/>
  <sheetViews>
    <sheetView topLeftCell="A7" zoomScale="70" zoomScaleNormal="70" workbookViewId="0">
      <selection activeCell="E14" sqref="E14"/>
    </sheetView>
  </sheetViews>
  <sheetFormatPr defaultRowHeight="14.4"/>
  <cols>
    <col min="1" max="1" width="13.44140625" bestFit="1" customWidth="1"/>
    <col min="2" max="2" width="17.88671875" bestFit="1" customWidth="1"/>
    <col min="3" max="3" width="32.88671875" bestFit="1" customWidth="1"/>
    <col min="4" max="4" width="30" bestFit="1" customWidth="1"/>
    <col min="5" max="5" width="34.5546875" bestFit="1" customWidth="1"/>
    <col min="6" max="6" width="13.44140625" bestFit="1" customWidth="1"/>
    <col min="7" max="7" width="17.88671875" bestFit="1" customWidth="1"/>
  </cols>
  <sheetData>
    <row r="1" spans="1:7">
      <c r="A1" s="21" t="s">
        <v>396</v>
      </c>
      <c r="B1" s="21" t="s">
        <v>397</v>
      </c>
      <c r="C1" s="21" t="s">
        <v>398</v>
      </c>
      <c r="D1" s="21" t="s">
        <v>399</v>
      </c>
      <c r="E1" s="21" t="s">
        <v>400</v>
      </c>
    </row>
    <row r="2" spans="1:7">
      <c r="A2" s="22">
        <f>AVERAGE('TV Series Dataset'!K2:K301)</f>
        <v>7.6966666666666663</v>
      </c>
      <c r="B2" s="22">
        <f>AVERAGE('TV Series Dataset'!H2:H301)</f>
        <v>7.7166666666666668</v>
      </c>
      <c r="C2" s="22">
        <f>AVERAGE('TV Series Dataset'!G2:G301)</f>
        <v>2.9733333333333332</v>
      </c>
      <c r="D2" s="23">
        <f>MAX('TV Series Dataset'!H2:H301)</f>
        <v>15</v>
      </c>
      <c r="E2" s="23">
        <f>MAX('TV Series Dataset'!G2:G301)</f>
        <v>8</v>
      </c>
    </row>
    <row r="4" spans="1:7">
      <c r="A4" s="21" t="s">
        <v>402</v>
      </c>
      <c r="B4" s="21" t="s">
        <v>403</v>
      </c>
      <c r="C4" s="21" t="s">
        <v>404</v>
      </c>
      <c r="D4" s="21" t="s">
        <v>405</v>
      </c>
      <c r="E4" s="21" t="s">
        <v>406</v>
      </c>
    </row>
    <row r="5" spans="1:7">
      <c r="A5" s="24">
        <f>COUNTIF('TV Series Dataset'!M:M,"Binge Watcher")/COUNTA('TV Series Dataset'!M:M)*100</f>
        <v>19.933554817275748</v>
      </c>
      <c r="B5" s="24">
        <f>COUNTIF('TV Series Dataset'!I:I,"Night")/COUNTA('TV Series Dataset'!I:I)*100</f>
        <v>46.511627906976742</v>
      </c>
      <c r="C5" s="24">
        <f>COUNTIF('TV Series Dataset'!N:N,"High")/COUNTA('TV Series Dataset'!N:N)*100</f>
        <v>28.571428571428569</v>
      </c>
      <c r="D5" s="24">
        <f>COUNTIF('TV Series Dataset'!N:N,"Low")/COUNTA('TV Series Dataset'!N:N)*100</f>
        <v>36.212624584717609</v>
      </c>
      <c r="E5" s="24">
        <f>COUNTIF('TV Series Dataset'!F:F,"Sci-Fi")/COUNTA('TV Series Dataset'!F:F)*100</f>
        <v>24.58471760797342</v>
      </c>
    </row>
    <row r="7" spans="1:7">
      <c r="A7" s="1" t="s">
        <v>368</v>
      </c>
      <c r="B7" t="s">
        <v>370</v>
      </c>
      <c r="F7" s="1" t="s">
        <v>368</v>
      </c>
      <c r="G7" t="s">
        <v>370</v>
      </c>
    </row>
    <row r="8" spans="1:7">
      <c r="A8" s="2" t="s">
        <v>373</v>
      </c>
      <c r="B8">
        <v>180</v>
      </c>
      <c r="F8" s="2" t="s">
        <v>408</v>
      </c>
      <c r="G8">
        <v>109</v>
      </c>
    </row>
    <row r="9" spans="1:7">
      <c r="A9" s="2" t="s">
        <v>377</v>
      </c>
      <c r="B9">
        <v>75</v>
      </c>
      <c r="F9" s="2" t="s">
        <v>409</v>
      </c>
      <c r="G9">
        <v>105</v>
      </c>
    </row>
    <row r="10" spans="1:7">
      <c r="A10" s="2" t="s">
        <v>375</v>
      </c>
      <c r="B10">
        <v>32</v>
      </c>
      <c r="F10" s="2" t="s">
        <v>407</v>
      </c>
      <c r="G10">
        <v>86</v>
      </c>
    </row>
    <row r="11" spans="1:7">
      <c r="A11" s="2" t="s">
        <v>371</v>
      </c>
      <c r="B11">
        <v>13</v>
      </c>
      <c r="F11" s="2" t="s">
        <v>369</v>
      </c>
      <c r="G11">
        <v>300</v>
      </c>
    </row>
    <row r="12" spans="1:7">
      <c r="A12" s="2" t="s">
        <v>369</v>
      </c>
      <c r="B12">
        <v>300</v>
      </c>
    </row>
    <row r="14" spans="1:7">
      <c r="D14" t="s">
        <v>401</v>
      </c>
    </row>
    <row r="24" spans="1:7">
      <c r="A24" s="1" t="s">
        <v>368</v>
      </c>
      <c r="B24" t="s">
        <v>370</v>
      </c>
      <c r="F24" s="1" t="s">
        <v>368</v>
      </c>
      <c r="G24" t="s">
        <v>370</v>
      </c>
    </row>
    <row r="25" spans="1:7">
      <c r="A25" s="2" t="s">
        <v>12</v>
      </c>
      <c r="B25">
        <v>139</v>
      </c>
      <c r="F25" s="2" t="s">
        <v>31</v>
      </c>
      <c r="G25">
        <v>90</v>
      </c>
    </row>
    <row r="26" spans="1:7">
      <c r="A26" s="2" t="s">
        <v>24</v>
      </c>
      <c r="B26">
        <v>161</v>
      </c>
      <c r="F26" s="2" t="s">
        <v>16</v>
      </c>
      <c r="G26">
        <v>70</v>
      </c>
    </row>
    <row r="27" spans="1:7">
      <c r="A27" s="2" t="s">
        <v>369</v>
      </c>
      <c r="B27">
        <v>300</v>
      </c>
      <c r="F27" s="2" t="s">
        <v>22</v>
      </c>
      <c r="G27">
        <v>140</v>
      </c>
    </row>
    <row r="28" spans="1:7">
      <c r="F28" s="2" t="s">
        <v>369</v>
      </c>
      <c r="G28">
        <v>300</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A8E2-F732-4F0C-809B-3E790B9295D5}">
  <dimension ref="B1:AC3"/>
  <sheetViews>
    <sheetView tabSelected="1" topLeftCell="B1" zoomScale="55" zoomScaleNormal="55" workbookViewId="0">
      <selection activeCell="U51" sqref="U51"/>
    </sheetView>
  </sheetViews>
  <sheetFormatPr defaultRowHeight="14.4"/>
  <cols>
    <col min="9" max="9" width="19.88671875" customWidth="1"/>
    <col min="19" max="19" width="16.33203125" customWidth="1"/>
    <col min="29" max="29" width="19.33203125" customWidth="1"/>
  </cols>
  <sheetData>
    <row r="1" spans="2:29" ht="28.8">
      <c r="J1" s="36" t="s">
        <v>410</v>
      </c>
      <c r="K1" s="36"/>
      <c r="L1" s="36"/>
      <c r="M1" s="36"/>
      <c r="N1" s="36"/>
      <c r="O1" s="36"/>
      <c r="P1" s="36"/>
      <c r="Q1" s="36"/>
      <c r="R1" s="36"/>
    </row>
    <row r="3" spans="2:29" ht="15.6">
      <c r="B3" s="35" t="s">
        <v>411</v>
      </c>
      <c r="C3" s="35"/>
      <c r="D3" s="35"/>
      <c r="E3" s="25"/>
      <c r="F3" s="35" t="s">
        <v>412</v>
      </c>
      <c r="G3" s="35"/>
      <c r="H3" s="35"/>
      <c r="I3" s="35"/>
      <c r="K3" s="35" t="s">
        <v>413</v>
      </c>
      <c r="L3" s="35"/>
      <c r="M3" s="35"/>
      <c r="N3" s="35"/>
      <c r="P3" s="35" t="s">
        <v>414</v>
      </c>
      <c r="Q3" s="35"/>
      <c r="R3" s="35"/>
      <c r="S3" s="35"/>
      <c r="U3" s="35" t="s">
        <v>415</v>
      </c>
      <c r="V3" s="35"/>
      <c r="W3" s="35"/>
      <c r="X3" s="35"/>
      <c r="Z3" s="35" t="s">
        <v>416</v>
      </c>
      <c r="AA3" s="35"/>
      <c r="AB3" s="35"/>
      <c r="AC3" s="35"/>
    </row>
  </sheetData>
  <mergeCells count="7">
    <mergeCell ref="U3:X3"/>
    <mergeCell ref="Z3:AC3"/>
    <mergeCell ref="J1:R1"/>
    <mergeCell ref="B3:D3"/>
    <mergeCell ref="F3:I3"/>
    <mergeCell ref="K3:N3"/>
    <mergeCell ref="P3:S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TV Series Dataset</vt:lpstr>
      <vt:lpstr>Sheet1</vt:lpstr>
      <vt:lpstr>Sheet2</vt:lpstr>
      <vt:lpstr>Sheet3</vt:lpstr>
      <vt:lpstr>Sheet4</vt:lpstr>
      <vt:lpstr>Sheet5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shreyas mayekar</cp:lastModifiedBy>
  <dcterms:created xsi:type="dcterms:W3CDTF">2026-03-10T05:15:02Z</dcterms:created>
  <dcterms:modified xsi:type="dcterms:W3CDTF">2026-03-13T04:52:04Z</dcterms:modified>
</cp:coreProperties>
</file>